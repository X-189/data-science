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pivot chart" sheetId="4" r:id="rId1"/>
    <sheet name="file1" sheetId="2" r:id="rId2"/>
    <sheet name="file 2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<sst xmlns="http://schemas.openxmlformats.org/spreadsheetml/2006/main" count="189" uniqueCount="49">
  <si>
    <t>Pivot Chart</t>
  </si>
  <si>
    <t>Date</t>
  </si>
  <si>
    <t>Food Item</t>
  </si>
  <si>
    <t>Category</t>
  </si>
  <si>
    <t>Count of Date</t>
  </si>
  <si>
    <t>Count of Food Item</t>
  </si>
  <si>
    <t>Sum of Calories</t>
  </si>
  <si>
    <t>Count of Category</t>
  </si>
  <si>
    <t>Apple</t>
  </si>
  <si>
    <t>Fruit</t>
  </si>
  <si>
    <t>Egg</t>
  </si>
  <si>
    <t>Protein</t>
  </si>
  <si>
    <t>Milk</t>
  </si>
  <si>
    <t>Dairy</t>
  </si>
  <si>
    <t>Rice</t>
  </si>
  <si>
    <t>Meal</t>
  </si>
  <si>
    <t>Banana</t>
  </si>
  <si>
    <t>Chicken</t>
  </si>
  <si>
    <t>Roti</t>
  </si>
  <si>
    <t>Tea</t>
  </si>
  <si>
    <t>Beverage</t>
  </si>
  <si>
    <t>Bread</t>
  </si>
  <si>
    <t>Butter</t>
  </si>
  <si>
    <t>Dal</t>
  </si>
  <si>
    <t>Orange</t>
  </si>
  <si>
    <t>Paneer</t>
  </si>
  <si>
    <t>Poha</t>
  </si>
  <si>
    <t>Almonds</t>
  </si>
  <si>
    <t>Coffee</t>
  </si>
  <si>
    <t>Oats</t>
  </si>
  <si>
    <t>Yogurt</t>
  </si>
  <si>
    <t>Idli</t>
  </si>
  <si>
    <t>Sambar</t>
  </si>
  <si>
    <t>Cheese</t>
  </si>
  <si>
    <t>Eggs</t>
  </si>
  <si>
    <t>Pasta</t>
  </si>
  <si>
    <t>Sandwich</t>
  </si>
  <si>
    <t>Upma</t>
  </si>
  <si>
    <t>Grand Total</t>
  </si>
  <si>
    <t xml:space="preserve"> Data Set for Calorie Intake Tracker</t>
  </si>
  <si>
    <t>Calculate Daily Total Calories</t>
  </si>
  <si>
    <t>Calories</t>
  </si>
  <si>
    <t>Total Calories</t>
  </si>
  <si>
    <t>Target</t>
  </si>
  <si>
    <t>Difference</t>
  </si>
  <si>
    <t>Max</t>
  </si>
  <si>
    <t>Status</t>
  </si>
  <si>
    <t>Data Visualization</t>
  </si>
  <si>
    <t>Sum of Total Calories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</si>
</sst>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9">
    <font>
      <sz val="11"/>
      <color theme="1"/>
      <name val="Calibri"/>
      <charset val="134"/>
      <scheme val="minor"/>
    </font>
    <font>
      <sz val="26"/>
      <color rgb="FFFF0000"/>
      <name val="Calibri"/>
      <charset val="134"/>
      <scheme val="minor"/>
    </font>
    <font>
      <sz val="20"/>
      <color rgb="FF7030A0"/>
      <name val="Cascadia Mono SemiBold"/>
      <charset val="134"/>
    </font>
    <font>
      <b/>
      <sz val="18"/>
      <color rgb="FF7030A0"/>
      <name val="Cascadia Mono SemiBold"/>
      <charset val="134"/>
    </font>
    <font>
      <sz val="18"/>
      <color rgb="FF7030A0"/>
      <name val="Cascadia Mono SemiBold"/>
      <charset val="134"/>
    </font>
    <font>
      <b/>
      <sz val="16"/>
      <color rgb="FF002060"/>
      <name val="Cambria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48"/>
      <color rgb="FFFF000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C78B8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ck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ck">
        <color auto="1"/>
      </right>
      <top style="double">
        <color auto="1"/>
      </top>
      <bottom/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31" applyNumberFormat="0" applyAlignment="0" applyProtection="0">
      <alignment vertical="center"/>
    </xf>
    <xf numFmtId="0" fontId="19" fillId="7" borderId="32" applyNumberFormat="0" applyAlignment="0" applyProtection="0">
      <alignment vertical="center"/>
    </xf>
    <xf numFmtId="0" fontId="20" fillId="7" borderId="31" applyNumberFormat="0" applyAlignment="0" applyProtection="0">
      <alignment vertical="center"/>
    </xf>
    <xf numFmtId="0" fontId="21" fillId="8" borderId="33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>
      <alignment vertical="center"/>
    </xf>
    <xf numFmtId="180" fontId="8" fillId="0" borderId="14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180" fontId="8" fillId="0" borderId="17" xfId="0" applyNumberFormat="1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3" xfId="0" applyBorder="1">
      <alignment vertical="center"/>
    </xf>
    <xf numFmtId="180" fontId="8" fillId="0" borderId="20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80" fontId="8" fillId="0" borderId="22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80" fontId="0" fillId="0" borderId="20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80" fontId="0" fillId="0" borderId="25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>
      <alignment vertical="center"/>
    </xf>
    <xf numFmtId="0" fontId="9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78B8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chart!PivotTable1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chart'!$D$6</c:f>
              <c:strCache>
                <c:ptCount val="1"/>
                <c:pt idx="0">
                  <c:v>Count of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chart'!$A$7:$C$97</c:f>
              <c:multiLvlStrCache>
                <c:ptCount val="40"/>
                <c:lvl>
                  <c:pt idx="0">
                    <c:v>Fruit</c:v>
                  </c:pt>
                  <c:pt idx="1">
                    <c:v>Protein</c:v>
                  </c:pt>
                  <c:pt idx="2">
                    <c:v>Dairy</c:v>
                  </c:pt>
                  <c:pt idx="3">
                    <c:v>Meal</c:v>
                  </c:pt>
                  <c:pt idx="4">
                    <c:v>Fruit</c:v>
                  </c:pt>
                  <c:pt idx="5">
                    <c:v>Protein</c:v>
                  </c:pt>
                  <c:pt idx="6">
                    <c:v>Meal</c:v>
                  </c:pt>
                  <c:pt idx="7">
                    <c:v>Beverage</c:v>
                  </c:pt>
                  <c:pt idx="8">
                    <c:v>Fruit</c:v>
                  </c:pt>
                  <c:pt idx="9">
                    <c:v>Meal</c:v>
                  </c:pt>
                  <c:pt idx="10">
                    <c:v>Dairy</c:v>
                  </c:pt>
                  <c:pt idx="11">
                    <c:v>Protein</c:v>
                  </c:pt>
                  <c:pt idx="12">
                    <c:v>Dairy</c:v>
                  </c:pt>
                  <c:pt idx="13">
                    <c:v>Fruit</c:v>
                  </c:pt>
                  <c:pt idx="14">
                    <c:v>Protein</c:v>
                  </c:pt>
                  <c:pt idx="15">
                    <c:v>Meal</c:v>
                  </c:pt>
                  <c:pt idx="16">
                    <c:v>Fruit</c:v>
                  </c:pt>
                  <c:pt idx="17">
                    <c:v>Protein</c:v>
                  </c:pt>
                  <c:pt idx="18">
                    <c:v>Meal</c:v>
                  </c:pt>
                  <c:pt idx="19">
                    <c:v>Beverage</c:v>
                  </c:pt>
                  <c:pt idx="20">
                    <c:v>Protein</c:v>
                  </c:pt>
                  <c:pt idx="21">
                    <c:v>Beverage</c:v>
                  </c:pt>
                  <c:pt idx="22">
                    <c:v>Meal</c:v>
                  </c:pt>
                  <c:pt idx="23">
                    <c:v>Dairy</c:v>
                  </c:pt>
                  <c:pt idx="24">
                    <c:v>Fruit</c:v>
                  </c:pt>
                  <c:pt idx="25">
                    <c:v>Meal</c:v>
                  </c:pt>
                  <c:pt idx="26">
                    <c:v>Dairy</c:v>
                  </c:pt>
                  <c:pt idx="27">
                    <c:v>Protein</c:v>
                  </c:pt>
                  <c:pt idx="28">
                    <c:v>Dairy</c:v>
                  </c:pt>
                  <c:pt idx="29">
                    <c:v>Protein</c:v>
                  </c:pt>
                  <c:pt idx="30">
                    <c:v>Fruit</c:v>
                  </c:pt>
                  <c:pt idx="31">
                    <c:v>Meal</c:v>
                  </c:pt>
                  <c:pt idx="32">
                    <c:v>Fruit</c:v>
                  </c:pt>
                  <c:pt idx="33">
                    <c:v>Protein</c:v>
                  </c:pt>
                  <c:pt idx="34">
                    <c:v>Meal</c:v>
                  </c:pt>
                  <c:pt idx="35">
                    <c:v>Dairy</c:v>
                  </c:pt>
                  <c:pt idx="36">
                    <c:v>Fruit</c:v>
                  </c:pt>
                  <c:pt idx="37">
                    <c:v>Protein</c:v>
                  </c:pt>
                  <c:pt idx="38">
                    <c:v>Beverage</c:v>
                  </c:pt>
                  <c:pt idx="39">
                    <c:v>Meal</c:v>
                  </c:pt>
                </c:lvl>
                <c:lvl>
                  <c:pt idx="0">
                    <c:v>Apple</c:v>
                  </c:pt>
                  <c:pt idx="1">
                    <c:v>Egg</c:v>
                  </c:pt>
                  <c:pt idx="2">
                    <c:v>Milk</c:v>
                  </c:pt>
                  <c:pt idx="3">
                    <c:v>Rice</c:v>
                  </c:pt>
                  <c:pt idx="4">
                    <c:v>Banana</c:v>
                  </c:pt>
                  <c:pt idx="5">
                    <c:v>Chicken</c:v>
                  </c:pt>
                  <c:pt idx="6">
                    <c:v>Roti</c:v>
                  </c:pt>
                  <c:pt idx="7">
                    <c:v>Tea</c:v>
                  </c:pt>
                  <c:pt idx="8">
                    <c:v>Apple</c:v>
                  </c:pt>
                  <c:pt idx="9">
                    <c:v>Bread</c:v>
                  </c:pt>
                  <c:pt idx="10">
                    <c:v>Butter</c:v>
                  </c:pt>
                  <c:pt idx="11">
                    <c:v>Dal</c:v>
                  </c:pt>
                  <c:pt idx="12">
                    <c:v>Milk</c:v>
                  </c:pt>
                  <c:pt idx="13">
                    <c:v>Orange</c:v>
                  </c:pt>
                  <c:pt idx="14">
                    <c:v>Paneer</c:v>
                  </c:pt>
                  <c:pt idx="15">
                    <c:v>Rice</c:v>
                  </c:pt>
                  <c:pt idx="16">
                    <c:v>Banana</c:v>
                  </c:pt>
                  <c:pt idx="17">
                    <c:v>Egg</c:v>
                  </c:pt>
                  <c:pt idx="18">
                    <c:v>Poha</c:v>
                  </c:pt>
                  <c:pt idx="19">
                    <c:v>Tea</c:v>
                  </c:pt>
                  <c:pt idx="20">
                    <c:v>Almonds</c:v>
                  </c:pt>
                  <c:pt idx="21">
                    <c:v>Coffee</c:v>
                  </c:pt>
                  <c:pt idx="22">
                    <c:v>Oats</c:v>
                  </c:pt>
                  <c:pt idx="23">
                    <c:v>Yogurt</c:v>
                  </c:pt>
                  <c:pt idx="24">
                    <c:v>Apple</c:v>
                  </c:pt>
                  <c:pt idx="25">
                    <c:v>Idli</c:v>
                  </c:pt>
                  <c:pt idx="26">
                    <c:v>Milk</c:v>
                  </c:pt>
                  <c:pt idx="27">
                    <c:v>Sambar</c:v>
                  </c:pt>
                  <c:pt idx="28">
                    <c:v>Cheese</c:v>
                  </c:pt>
                  <c:pt idx="29">
                    <c:v>Eggs</c:v>
                  </c:pt>
                  <c:pt idx="30">
                    <c:v>Orange</c:v>
                  </c:pt>
                  <c:pt idx="31">
                    <c:v>Pasta</c:v>
                  </c:pt>
                  <c:pt idx="32">
                    <c:v>Banana</c:v>
                  </c:pt>
                  <c:pt idx="33">
                    <c:v>Chicken</c:v>
                  </c:pt>
                  <c:pt idx="34">
                    <c:v>Sandwich</c:v>
                  </c:pt>
                  <c:pt idx="35">
                    <c:v>Yogurt</c:v>
                  </c:pt>
                  <c:pt idx="36">
                    <c:v>Apple</c:v>
                  </c:pt>
                  <c:pt idx="37">
                    <c:v>Paneer</c:v>
                  </c:pt>
                  <c:pt idx="38">
                    <c:v>Tea</c:v>
                  </c:pt>
                  <c:pt idx="39">
                    <c:v>Upma</c:v>
                  </c:pt>
                </c:lvl>
                <c:lvl>
                  <c:pt idx="0">
                    <c:v>01-Apr</c:v>
                  </c:pt>
                  <c:pt idx="4">
                    <c:v>02-Apr</c:v>
                  </c:pt>
                  <c:pt idx="8">
                    <c:v>03-Apr</c:v>
                  </c:pt>
                  <c:pt idx="12">
                    <c:v>04-Apr</c:v>
                  </c:pt>
                  <c:pt idx="16">
                    <c:v>05-Apr</c:v>
                  </c:pt>
                  <c:pt idx="20">
                    <c:v>06-Apr</c:v>
                  </c:pt>
                  <c:pt idx="24">
                    <c:v>07-Apr</c:v>
                  </c:pt>
                  <c:pt idx="28">
                    <c:v>08-Apr</c:v>
                  </c:pt>
                  <c:pt idx="32">
                    <c:v>09-Apr</c:v>
                  </c:pt>
                  <c:pt idx="36">
                    <c:v>10-Apr</c:v>
                  </c:pt>
                </c:lvl>
              </c:multiLvlStrCache>
            </c:multiLvlStrRef>
          </c:cat>
          <c:val>
            <c:numRef>
              <c:f>'pivot chart'!$D$7:$D$97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chart'!$E$6</c:f>
              <c:strCache>
                <c:ptCount val="1"/>
                <c:pt idx="0">
                  <c:v>Count of Food Item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chart'!$A$7:$C$97</c:f>
              <c:multiLvlStrCache>
                <c:ptCount val="40"/>
                <c:lvl>
                  <c:pt idx="0">
                    <c:v>Fruit</c:v>
                  </c:pt>
                  <c:pt idx="1">
                    <c:v>Protein</c:v>
                  </c:pt>
                  <c:pt idx="2">
                    <c:v>Dairy</c:v>
                  </c:pt>
                  <c:pt idx="3">
                    <c:v>Meal</c:v>
                  </c:pt>
                  <c:pt idx="4">
                    <c:v>Fruit</c:v>
                  </c:pt>
                  <c:pt idx="5">
                    <c:v>Protein</c:v>
                  </c:pt>
                  <c:pt idx="6">
                    <c:v>Meal</c:v>
                  </c:pt>
                  <c:pt idx="7">
                    <c:v>Beverage</c:v>
                  </c:pt>
                  <c:pt idx="8">
                    <c:v>Fruit</c:v>
                  </c:pt>
                  <c:pt idx="9">
                    <c:v>Meal</c:v>
                  </c:pt>
                  <c:pt idx="10">
                    <c:v>Dairy</c:v>
                  </c:pt>
                  <c:pt idx="11">
                    <c:v>Protein</c:v>
                  </c:pt>
                  <c:pt idx="12">
                    <c:v>Dairy</c:v>
                  </c:pt>
                  <c:pt idx="13">
                    <c:v>Fruit</c:v>
                  </c:pt>
                  <c:pt idx="14">
                    <c:v>Protein</c:v>
                  </c:pt>
                  <c:pt idx="15">
                    <c:v>Meal</c:v>
                  </c:pt>
                  <c:pt idx="16">
                    <c:v>Fruit</c:v>
                  </c:pt>
                  <c:pt idx="17">
                    <c:v>Protein</c:v>
                  </c:pt>
                  <c:pt idx="18">
                    <c:v>Meal</c:v>
                  </c:pt>
                  <c:pt idx="19">
                    <c:v>Beverage</c:v>
                  </c:pt>
                  <c:pt idx="20">
                    <c:v>Protein</c:v>
                  </c:pt>
                  <c:pt idx="21">
                    <c:v>Beverage</c:v>
                  </c:pt>
                  <c:pt idx="22">
                    <c:v>Meal</c:v>
                  </c:pt>
                  <c:pt idx="23">
                    <c:v>Dairy</c:v>
                  </c:pt>
                  <c:pt idx="24">
                    <c:v>Fruit</c:v>
                  </c:pt>
                  <c:pt idx="25">
                    <c:v>Meal</c:v>
                  </c:pt>
                  <c:pt idx="26">
                    <c:v>Dairy</c:v>
                  </c:pt>
                  <c:pt idx="27">
                    <c:v>Protein</c:v>
                  </c:pt>
                  <c:pt idx="28">
                    <c:v>Dairy</c:v>
                  </c:pt>
                  <c:pt idx="29">
                    <c:v>Protein</c:v>
                  </c:pt>
                  <c:pt idx="30">
                    <c:v>Fruit</c:v>
                  </c:pt>
                  <c:pt idx="31">
                    <c:v>Meal</c:v>
                  </c:pt>
                  <c:pt idx="32">
                    <c:v>Fruit</c:v>
                  </c:pt>
                  <c:pt idx="33">
                    <c:v>Protein</c:v>
                  </c:pt>
                  <c:pt idx="34">
                    <c:v>Meal</c:v>
                  </c:pt>
                  <c:pt idx="35">
                    <c:v>Dairy</c:v>
                  </c:pt>
                  <c:pt idx="36">
                    <c:v>Fruit</c:v>
                  </c:pt>
                  <c:pt idx="37">
                    <c:v>Protein</c:v>
                  </c:pt>
                  <c:pt idx="38">
                    <c:v>Beverage</c:v>
                  </c:pt>
                  <c:pt idx="39">
                    <c:v>Meal</c:v>
                  </c:pt>
                </c:lvl>
                <c:lvl>
                  <c:pt idx="0">
                    <c:v>Apple</c:v>
                  </c:pt>
                  <c:pt idx="1">
                    <c:v>Egg</c:v>
                  </c:pt>
                  <c:pt idx="2">
                    <c:v>Milk</c:v>
                  </c:pt>
                  <c:pt idx="3">
                    <c:v>Rice</c:v>
                  </c:pt>
                  <c:pt idx="4">
                    <c:v>Banana</c:v>
                  </c:pt>
                  <c:pt idx="5">
                    <c:v>Chicken</c:v>
                  </c:pt>
                  <c:pt idx="6">
                    <c:v>Roti</c:v>
                  </c:pt>
                  <c:pt idx="7">
                    <c:v>Tea</c:v>
                  </c:pt>
                  <c:pt idx="8">
                    <c:v>Apple</c:v>
                  </c:pt>
                  <c:pt idx="9">
                    <c:v>Bread</c:v>
                  </c:pt>
                  <c:pt idx="10">
                    <c:v>Butter</c:v>
                  </c:pt>
                  <c:pt idx="11">
                    <c:v>Dal</c:v>
                  </c:pt>
                  <c:pt idx="12">
                    <c:v>Milk</c:v>
                  </c:pt>
                  <c:pt idx="13">
                    <c:v>Orange</c:v>
                  </c:pt>
                  <c:pt idx="14">
                    <c:v>Paneer</c:v>
                  </c:pt>
                  <c:pt idx="15">
                    <c:v>Rice</c:v>
                  </c:pt>
                  <c:pt idx="16">
                    <c:v>Banana</c:v>
                  </c:pt>
                  <c:pt idx="17">
                    <c:v>Egg</c:v>
                  </c:pt>
                  <c:pt idx="18">
                    <c:v>Poha</c:v>
                  </c:pt>
                  <c:pt idx="19">
                    <c:v>Tea</c:v>
                  </c:pt>
                  <c:pt idx="20">
                    <c:v>Almonds</c:v>
                  </c:pt>
                  <c:pt idx="21">
                    <c:v>Coffee</c:v>
                  </c:pt>
                  <c:pt idx="22">
                    <c:v>Oats</c:v>
                  </c:pt>
                  <c:pt idx="23">
                    <c:v>Yogurt</c:v>
                  </c:pt>
                  <c:pt idx="24">
                    <c:v>Apple</c:v>
                  </c:pt>
                  <c:pt idx="25">
                    <c:v>Idli</c:v>
                  </c:pt>
                  <c:pt idx="26">
                    <c:v>Milk</c:v>
                  </c:pt>
                  <c:pt idx="27">
                    <c:v>Sambar</c:v>
                  </c:pt>
                  <c:pt idx="28">
                    <c:v>Cheese</c:v>
                  </c:pt>
                  <c:pt idx="29">
                    <c:v>Eggs</c:v>
                  </c:pt>
                  <c:pt idx="30">
                    <c:v>Orange</c:v>
                  </c:pt>
                  <c:pt idx="31">
                    <c:v>Pasta</c:v>
                  </c:pt>
                  <c:pt idx="32">
                    <c:v>Banana</c:v>
                  </c:pt>
                  <c:pt idx="33">
                    <c:v>Chicken</c:v>
                  </c:pt>
                  <c:pt idx="34">
                    <c:v>Sandwich</c:v>
                  </c:pt>
                  <c:pt idx="35">
                    <c:v>Yogurt</c:v>
                  </c:pt>
                  <c:pt idx="36">
                    <c:v>Apple</c:v>
                  </c:pt>
                  <c:pt idx="37">
                    <c:v>Paneer</c:v>
                  </c:pt>
                  <c:pt idx="38">
                    <c:v>Tea</c:v>
                  </c:pt>
                  <c:pt idx="39">
                    <c:v>Upma</c:v>
                  </c:pt>
                </c:lvl>
                <c:lvl>
                  <c:pt idx="0">
                    <c:v>01-Apr</c:v>
                  </c:pt>
                  <c:pt idx="4">
                    <c:v>02-Apr</c:v>
                  </c:pt>
                  <c:pt idx="8">
                    <c:v>03-Apr</c:v>
                  </c:pt>
                  <c:pt idx="12">
                    <c:v>04-Apr</c:v>
                  </c:pt>
                  <c:pt idx="16">
                    <c:v>05-Apr</c:v>
                  </c:pt>
                  <c:pt idx="20">
                    <c:v>06-Apr</c:v>
                  </c:pt>
                  <c:pt idx="24">
                    <c:v>07-Apr</c:v>
                  </c:pt>
                  <c:pt idx="28">
                    <c:v>08-Apr</c:v>
                  </c:pt>
                  <c:pt idx="32">
                    <c:v>09-Apr</c:v>
                  </c:pt>
                  <c:pt idx="36">
                    <c:v>10-Apr</c:v>
                  </c:pt>
                </c:lvl>
              </c:multiLvlStrCache>
            </c:multiLvlStrRef>
          </c:cat>
          <c:val>
            <c:numRef>
              <c:f>'pivot chart'!$E$7:$E$97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</c:ser>
        <c:ser>
          <c:idx val="2"/>
          <c:order val="2"/>
          <c:tx>
            <c:strRef>
              <c:f>'pivot chart'!$F$6</c:f>
              <c:strCache>
                <c:ptCount val="1"/>
                <c:pt idx="0">
                  <c:v>Sum of Calories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chart'!$A$7:$C$97</c:f>
              <c:multiLvlStrCache>
                <c:ptCount val="40"/>
                <c:lvl>
                  <c:pt idx="0">
                    <c:v>Fruit</c:v>
                  </c:pt>
                  <c:pt idx="1">
                    <c:v>Protein</c:v>
                  </c:pt>
                  <c:pt idx="2">
                    <c:v>Dairy</c:v>
                  </c:pt>
                  <c:pt idx="3">
                    <c:v>Meal</c:v>
                  </c:pt>
                  <c:pt idx="4">
                    <c:v>Fruit</c:v>
                  </c:pt>
                  <c:pt idx="5">
                    <c:v>Protein</c:v>
                  </c:pt>
                  <c:pt idx="6">
                    <c:v>Meal</c:v>
                  </c:pt>
                  <c:pt idx="7">
                    <c:v>Beverage</c:v>
                  </c:pt>
                  <c:pt idx="8">
                    <c:v>Fruit</c:v>
                  </c:pt>
                  <c:pt idx="9">
                    <c:v>Meal</c:v>
                  </c:pt>
                  <c:pt idx="10">
                    <c:v>Dairy</c:v>
                  </c:pt>
                  <c:pt idx="11">
                    <c:v>Protein</c:v>
                  </c:pt>
                  <c:pt idx="12">
                    <c:v>Dairy</c:v>
                  </c:pt>
                  <c:pt idx="13">
                    <c:v>Fruit</c:v>
                  </c:pt>
                  <c:pt idx="14">
                    <c:v>Protein</c:v>
                  </c:pt>
                  <c:pt idx="15">
                    <c:v>Meal</c:v>
                  </c:pt>
                  <c:pt idx="16">
                    <c:v>Fruit</c:v>
                  </c:pt>
                  <c:pt idx="17">
                    <c:v>Protein</c:v>
                  </c:pt>
                  <c:pt idx="18">
                    <c:v>Meal</c:v>
                  </c:pt>
                  <c:pt idx="19">
                    <c:v>Beverage</c:v>
                  </c:pt>
                  <c:pt idx="20">
                    <c:v>Protein</c:v>
                  </c:pt>
                  <c:pt idx="21">
                    <c:v>Beverage</c:v>
                  </c:pt>
                  <c:pt idx="22">
                    <c:v>Meal</c:v>
                  </c:pt>
                  <c:pt idx="23">
                    <c:v>Dairy</c:v>
                  </c:pt>
                  <c:pt idx="24">
                    <c:v>Fruit</c:v>
                  </c:pt>
                  <c:pt idx="25">
                    <c:v>Meal</c:v>
                  </c:pt>
                  <c:pt idx="26">
                    <c:v>Dairy</c:v>
                  </c:pt>
                  <c:pt idx="27">
                    <c:v>Protein</c:v>
                  </c:pt>
                  <c:pt idx="28">
                    <c:v>Dairy</c:v>
                  </c:pt>
                  <c:pt idx="29">
                    <c:v>Protein</c:v>
                  </c:pt>
                  <c:pt idx="30">
                    <c:v>Fruit</c:v>
                  </c:pt>
                  <c:pt idx="31">
                    <c:v>Meal</c:v>
                  </c:pt>
                  <c:pt idx="32">
                    <c:v>Fruit</c:v>
                  </c:pt>
                  <c:pt idx="33">
                    <c:v>Protein</c:v>
                  </c:pt>
                  <c:pt idx="34">
                    <c:v>Meal</c:v>
                  </c:pt>
                  <c:pt idx="35">
                    <c:v>Dairy</c:v>
                  </c:pt>
                  <c:pt idx="36">
                    <c:v>Fruit</c:v>
                  </c:pt>
                  <c:pt idx="37">
                    <c:v>Protein</c:v>
                  </c:pt>
                  <c:pt idx="38">
                    <c:v>Beverage</c:v>
                  </c:pt>
                  <c:pt idx="39">
                    <c:v>Meal</c:v>
                  </c:pt>
                </c:lvl>
                <c:lvl>
                  <c:pt idx="0">
                    <c:v>Apple</c:v>
                  </c:pt>
                  <c:pt idx="1">
                    <c:v>Egg</c:v>
                  </c:pt>
                  <c:pt idx="2">
                    <c:v>Milk</c:v>
                  </c:pt>
                  <c:pt idx="3">
                    <c:v>Rice</c:v>
                  </c:pt>
                  <c:pt idx="4">
                    <c:v>Banana</c:v>
                  </c:pt>
                  <c:pt idx="5">
                    <c:v>Chicken</c:v>
                  </c:pt>
                  <c:pt idx="6">
                    <c:v>Roti</c:v>
                  </c:pt>
                  <c:pt idx="7">
                    <c:v>Tea</c:v>
                  </c:pt>
                  <c:pt idx="8">
                    <c:v>Apple</c:v>
                  </c:pt>
                  <c:pt idx="9">
                    <c:v>Bread</c:v>
                  </c:pt>
                  <c:pt idx="10">
                    <c:v>Butter</c:v>
                  </c:pt>
                  <c:pt idx="11">
                    <c:v>Dal</c:v>
                  </c:pt>
                  <c:pt idx="12">
                    <c:v>Milk</c:v>
                  </c:pt>
                  <c:pt idx="13">
                    <c:v>Orange</c:v>
                  </c:pt>
                  <c:pt idx="14">
                    <c:v>Paneer</c:v>
                  </c:pt>
                  <c:pt idx="15">
                    <c:v>Rice</c:v>
                  </c:pt>
                  <c:pt idx="16">
                    <c:v>Banana</c:v>
                  </c:pt>
                  <c:pt idx="17">
                    <c:v>Egg</c:v>
                  </c:pt>
                  <c:pt idx="18">
                    <c:v>Poha</c:v>
                  </c:pt>
                  <c:pt idx="19">
                    <c:v>Tea</c:v>
                  </c:pt>
                  <c:pt idx="20">
                    <c:v>Almonds</c:v>
                  </c:pt>
                  <c:pt idx="21">
                    <c:v>Coffee</c:v>
                  </c:pt>
                  <c:pt idx="22">
                    <c:v>Oats</c:v>
                  </c:pt>
                  <c:pt idx="23">
                    <c:v>Yogurt</c:v>
                  </c:pt>
                  <c:pt idx="24">
                    <c:v>Apple</c:v>
                  </c:pt>
                  <c:pt idx="25">
                    <c:v>Idli</c:v>
                  </c:pt>
                  <c:pt idx="26">
                    <c:v>Milk</c:v>
                  </c:pt>
                  <c:pt idx="27">
                    <c:v>Sambar</c:v>
                  </c:pt>
                  <c:pt idx="28">
                    <c:v>Cheese</c:v>
                  </c:pt>
                  <c:pt idx="29">
                    <c:v>Eggs</c:v>
                  </c:pt>
                  <c:pt idx="30">
                    <c:v>Orange</c:v>
                  </c:pt>
                  <c:pt idx="31">
                    <c:v>Pasta</c:v>
                  </c:pt>
                  <c:pt idx="32">
                    <c:v>Banana</c:v>
                  </c:pt>
                  <c:pt idx="33">
                    <c:v>Chicken</c:v>
                  </c:pt>
                  <c:pt idx="34">
                    <c:v>Sandwich</c:v>
                  </c:pt>
                  <c:pt idx="35">
                    <c:v>Yogurt</c:v>
                  </c:pt>
                  <c:pt idx="36">
                    <c:v>Apple</c:v>
                  </c:pt>
                  <c:pt idx="37">
                    <c:v>Paneer</c:v>
                  </c:pt>
                  <c:pt idx="38">
                    <c:v>Tea</c:v>
                  </c:pt>
                  <c:pt idx="39">
                    <c:v>Upma</c:v>
                  </c:pt>
                </c:lvl>
                <c:lvl>
                  <c:pt idx="0">
                    <c:v>01-Apr</c:v>
                  </c:pt>
                  <c:pt idx="4">
                    <c:v>02-Apr</c:v>
                  </c:pt>
                  <c:pt idx="8">
                    <c:v>03-Apr</c:v>
                  </c:pt>
                  <c:pt idx="12">
                    <c:v>04-Apr</c:v>
                  </c:pt>
                  <c:pt idx="16">
                    <c:v>05-Apr</c:v>
                  </c:pt>
                  <c:pt idx="20">
                    <c:v>06-Apr</c:v>
                  </c:pt>
                  <c:pt idx="24">
                    <c:v>07-Apr</c:v>
                  </c:pt>
                  <c:pt idx="28">
                    <c:v>08-Apr</c:v>
                  </c:pt>
                  <c:pt idx="32">
                    <c:v>09-Apr</c:v>
                  </c:pt>
                  <c:pt idx="36">
                    <c:v>10-Apr</c:v>
                  </c:pt>
                </c:lvl>
              </c:multiLvlStrCache>
            </c:multiLvlStrRef>
          </c:cat>
          <c:val>
            <c:numRef>
              <c:f>'pivot chart'!$F$7:$F$97</c:f>
              <c:numCache>
                <c:formatCode>General</c:formatCode>
                <c:ptCount val="40"/>
                <c:pt idx="0">
                  <c:v>95</c:v>
                </c:pt>
                <c:pt idx="1">
                  <c:v>78</c:v>
                </c:pt>
                <c:pt idx="2">
                  <c:v>120</c:v>
                </c:pt>
                <c:pt idx="3">
                  <c:v>250</c:v>
                </c:pt>
                <c:pt idx="4">
                  <c:v>105</c:v>
                </c:pt>
                <c:pt idx="5">
                  <c:v>240</c:v>
                </c:pt>
                <c:pt idx="6">
                  <c:v>120</c:v>
                </c:pt>
                <c:pt idx="7">
                  <c:v>50</c:v>
                </c:pt>
                <c:pt idx="8">
                  <c:v>95</c:v>
                </c:pt>
                <c:pt idx="9">
                  <c:v>150</c:v>
                </c:pt>
                <c:pt idx="10">
                  <c:v>102</c:v>
                </c:pt>
                <c:pt idx="11">
                  <c:v>180</c:v>
                </c:pt>
                <c:pt idx="12">
                  <c:v>120</c:v>
                </c:pt>
                <c:pt idx="13">
                  <c:v>62</c:v>
                </c:pt>
                <c:pt idx="14">
                  <c:v>265</c:v>
                </c:pt>
                <c:pt idx="15">
                  <c:v>250</c:v>
                </c:pt>
                <c:pt idx="16">
                  <c:v>105</c:v>
                </c:pt>
                <c:pt idx="17">
                  <c:v>78</c:v>
                </c:pt>
                <c:pt idx="18">
                  <c:v>180</c:v>
                </c:pt>
                <c:pt idx="19">
                  <c:v>50</c:v>
                </c:pt>
                <c:pt idx="20">
                  <c:v>170</c:v>
                </c:pt>
                <c:pt idx="21">
                  <c:v>40</c:v>
                </c:pt>
                <c:pt idx="22">
                  <c:v>160</c:v>
                </c:pt>
                <c:pt idx="23">
                  <c:v>110</c:v>
                </c:pt>
                <c:pt idx="24">
                  <c:v>95</c:v>
                </c:pt>
                <c:pt idx="25">
                  <c:v>140</c:v>
                </c:pt>
                <c:pt idx="26">
                  <c:v>120</c:v>
                </c:pt>
                <c:pt idx="27">
                  <c:v>180</c:v>
                </c:pt>
                <c:pt idx="28">
                  <c:v>200</c:v>
                </c:pt>
                <c:pt idx="29">
                  <c:v>155</c:v>
                </c:pt>
                <c:pt idx="30">
                  <c:v>62</c:v>
                </c:pt>
                <c:pt idx="31">
                  <c:v>220</c:v>
                </c:pt>
                <c:pt idx="32">
                  <c:v>105</c:v>
                </c:pt>
                <c:pt idx="33">
                  <c:v>240</c:v>
                </c:pt>
                <c:pt idx="34">
                  <c:v>250</c:v>
                </c:pt>
                <c:pt idx="35">
                  <c:v>110</c:v>
                </c:pt>
                <c:pt idx="36">
                  <c:v>95</c:v>
                </c:pt>
                <c:pt idx="37">
                  <c:v>265</c:v>
                </c:pt>
                <c:pt idx="38">
                  <c:v>50</c:v>
                </c:pt>
                <c:pt idx="39">
                  <c:v>180</c:v>
                </c:pt>
              </c:numCache>
            </c:numRef>
          </c:val>
        </c:ser>
        <c:ser>
          <c:idx val="3"/>
          <c:order val="3"/>
          <c:tx>
            <c:strRef>
              <c:f>'pivot chart'!$G$6</c:f>
              <c:strCache>
                <c:ptCount val="1"/>
                <c:pt idx="0">
                  <c:v>Count of Category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chart'!$A$7:$C$97</c:f>
              <c:multiLvlStrCache>
                <c:ptCount val="40"/>
                <c:lvl>
                  <c:pt idx="0">
                    <c:v>Fruit</c:v>
                  </c:pt>
                  <c:pt idx="1">
                    <c:v>Protein</c:v>
                  </c:pt>
                  <c:pt idx="2">
                    <c:v>Dairy</c:v>
                  </c:pt>
                  <c:pt idx="3">
                    <c:v>Meal</c:v>
                  </c:pt>
                  <c:pt idx="4">
                    <c:v>Fruit</c:v>
                  </c:pt>
                  <c:pt idx="5">
                    <c:v>Protein</c:v>
                  </c:pt>
                  <c:pt idx="6">
                    <c:v>Meal</c:v>
                  </c:pt>
                  <c:pt idx="7">
                    <c:v>Beverage</c:v>
                  </c:pt>
                  <c:pt idx="8">
                    <c:v>Fruit</c:v>
                  </c:pt>
                  <c:pt idx="9">
                    <c:v>Meal</c:v>
                  </c:pt>
                  <c:pt idx="10">
                    <c:v>Dairy</c:v>
                  </c:pt>
                  <c:pt idx="11">
                    <c:v>Protein</c:v>
                  </c:pt>
                  <c:pt idx="12">
                    <c:v>Dairy</c:v>
                  </c:pt>
                  <c:pt idx="13">
                    <c:v>Fruit</c:v>
                  </c:pt>
                  <c:pt idx="14">
                    <c:v>Protein</c:v>
                  </c:pt>
                  <c:pt idx="15">
                    <c:v>Meal</c:v>
                  </c:pt>
                  <c:pt idx="16">
                    <c:v>Fruit</c:v>
                  </c:pt>
                  <c:pt idx="17">
                    <c:v>Protein</c:v>
                  </c:pt>
                  <c:pt idx="18">
                    <c:v>Meal</c:v>
                  </c:pt>
                  <c:pt idx="19">
                    <c:v>Beverage</c:v>
                  </c:pt>
                  <c:pt idx="20">
                    <c:v>Protein</c:v>
                  </c:pt>
                  <c:pt idx="21">
                    <c:v>Beverage</c:v>
                  </c:pt>
                  <c:pt idx="22">
                    <c:v>Meal</c:v>
                  </c:pt>
                  <c:pt idx="23">
                    <c:v>Dairy</c:v>
                  </c:pt>
                  <c:pt idx="24">
                    <c:v>Fruit</c:v>
                  </c:pt>
                  <c:pt idx="25">
                    <c:v>Meal</c:v>
                  </c:pt>
                  <c:pt idx="26">
                    <c:v>Dairy</c:v>
                  </c:pt>
                  <c:pt idx="27">
                    <c:v>Protein</c:v>
                  </c:pt>
                  <c:pt idx="28">
                    <c:v>Dairy</c:v>
                  </c:pt>
                  <c:pt idx="29">
                    <c:v>Protein</c:v>
                  </c:pt>
                  <c:pt idx="30">
                    <c:v>Fruit</c:v>
                  </c:pt>
                  <c:pt idx="31">
                    <c:v>Meal</c:v>
                  </c:pt>
                  <c:pt idx="32">
                    <c:v>Fruit</c:v>
                  </c:pt>
                  <c:pt idx="33">
                    <c:v>Protein</c:v>
                  </c:pt>
                  <c:pt idx="34">
                    <c:v>Meal</c:v>
                  </c:pt>
                  <c:pt idx="35">
                    <c:v>Dairy</c:v>
                  </c:pt>
                  <c:pt idx="36">
                    <c:v>Fruit</c:v>
                  </c:pt>
                  <c:pt idx="37">
                    <c:v>Protein</c:v>
                  </c:pt>
                  <c:pt idx="38">
                    <c:v>Beverage</c:v>
                  </c:pt>
                  <c:pt idx="39">
                    <c:v>Meal</c:v>
                  </c:pt>
                </c:lvl>
                <c:lvl>
                  <c:pt idx="0">
                    <c:v>Apple</c:v>
                  </c:pt>
                  <c:pt idx="1">
                    <c:v>Egg</c:v>
                  </c:pt>
                  <c:pt idx="2">
                    <c:v>Milk</c:v>
                  </c:pt>
                  <c:pt idx="3">
                    <c:v>Rice</c:v>
                  </c:pt>
                  <c:pt idx="4">
                    <c:v>Banana</c:v>
                  </c:pt>
                  <c:pt idx="5">
                    <c:v>Chicken</c:v>
                  </c:pt>
                  <c:pt idx="6">
                    <c:v>Roti</c:v>
                  </c:pt>
                  <c:pt idx="7">
                    <c:v>Tea</c:v>
                  </c:pt>
                  <c:pt idx="8">
                    <c:v>Apple</c:v>
                  </c:pt>
                  <c:pt idx="9">
                    <c:v>Bread</c:v>
                  </c:pt>
                  <c:pt idx="10">
                    <c:v>Butter</c:v>
                  </c:pt>
                  <c:pt idx="11">
                    <c:v>Dal</c:v>
                  </c:pt>
                  <c:pt idx="12">
                    <c:v>Milk</c:v>
                  </c:pt>
                  <c:pt idx="13">
                    <c:v>Orange</c:v>
                  </c:pt>
                  <c:pt idx="14">
                    <c:v>Paneer</c:v>
                  </c:pt>
                  <c:pt idx="15">
                    <c:v>Rice</c:v>
                  </c:pt>
                  <c:pt idx="16">
                    <c:v>Banana</c:v>
                  </c:pt>
                  <c:pt idx="17">
                    <c:v>Egg</c:v>
                  </c:pt>
                  <c:pt idx="18">
                    <c:v>Poha</c:v>
                  </c:pt>
                  <c:pt idx="19">
                    <c:v>Tea</c:v>
                  </c:pt>
                  <c:pt idx="20">
                    <c:v>Almonds</c:v>
                  </c:pt>
                  <c:pt idx="21">
                    <c:v>Coffee</c:v>
                  </c:pt>
                  <c:pt idx="22">
                    <c:v>Oats</c:v>
                  </c:pt>
                  <c:pt idx="23">
                    <c:v>Yogurt</c:v>
                  </c:pt>
                  <c:pt idx="24">
                    <c:v>Apple</c:v>
                  </c:pt>
                  <c:pt idx="25">
                    <c:v>Idli</c:v>
                  </c:pt>
                  <c:pt idx="26">
                    <c:v>Milk</c:v>
                  </c:pt>
                  <c:pt idx="27">
                    <c:v>Sambar</c:v>
                  </c:pt>
                  <c:pt idx="28">
                    <c:v>Cheese</c:v>
                  </c:pt>
                  <c:pt idx="29">
                    <c:v>Eggs</c:v>
                  </c:pt>
                  <c:pt idx="30">
                    <c:v>Orange</c:v>
                  </c:pt>
                  <c:pt idx="31">
                    <c:v>Pasta</c:v>
                  </c:pt>
                  <c:pt idx="32">
                    <c:v>Banana</c:v>
                  </c:pt>
                  <c:pt idx="33">
                    <c:v>Chicken</c:v>
                  </c:pt>
                  <c:pt idx="34">
                    <c:v>Sandwich</c:v>
                  </c:pt>
                  <c:pt idx="35">
                    <c:v>Yogurt</c:v>
                  </c:pt>
                  <c:pt idx="36">
                    <c:v>Apple</c:v>
                  </c:pt>
                  <c:pt idx="37">
                    <c:v>Paneer</c:v>
                  </c:pt>
                  <c:pt idx="38">
                    <c:v>Tea</c:v>
                  </c:pt>
                  <c:pt idx="39">
                    <c:v>Upma</c:v>
                  </c:pt>
                </c:lvl>
                <c:lvl>
                  <c:pt idx="0">
                    <c:v>01-Apr</c:v>
                  </c:pt>
                  <c:pt idx="4">
                    <c:v>02-Apr</c:v>
                  </c:pt>
                  <c:pt idx="8">
                    <c:v>03-Apr</c:v>
                  </c:pt>
                  <c:pt idx="12">
                    <c:v>04-Apr</c:v>
                  </c:pt>
                  <c:pt idx="16">
                    <c:v>05-Apr</c:v>
                  </c:pt>
                  <c:pt idx="20">
                    <c:v>06-Apr</c:v>
                  </c:pt>
                  <c:pt idx="24">
                    <c:v>07-Apr</c:v>
                  </c:pt>
                  <c:pt idx="28">
                    <c:v>08-Apr</c:v>
                  </c:pt>
                  <c:pt idx="32">
                    <c:v>09-Apr</c:v>
                  </c:pt>
                  <c:pt idx="36">
                    <c:v>10-Apr</c:v>
                  </c:pt>
                </c:lvl>
              </c:multiLvlStrCache>
            </c:multiLvlStrRef>
          </c:cat>
          <c:val>
            <c:numRef>
              <c:f>'pivot chart'!$G$7:$G$97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280988"/>
        <c:axId val="697791023"/>
      </c:barChart>
      <c:catAx>
        <c:axId val="4782809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791023"/>
        <c:crosses val="autoZero"/>
        <c:auto val="1"/>
        <c:lblAlgn val="ctr"/>
        <c:lblOffset val="100"/>
        <c:noMultiLvlLbl val="0"/>
      </c:catAx>
      <c:valAx>
        <c:axId val="6977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280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[Book1.xlsx]file 2!PivotTable2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'file 2'!$H$29:$H$30</c:f>
              <c:strCache>
                <c:ptCount val="1"/>
                <c:pt idx="0">
                  <c:v>01-Apr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2'!$H$31:$H$98</c:f>
              <c:numCache>
                <c:formatCode>General</c:formatCode>
                <c:ptCount val="24"/>
                <c:pt idx="12">
                  <c:v>448</c:v>
                </c:pt>
                <c:pt idx="18">
                  <c:v>543</c:v>
                </c:pt>
                <c:pt idx="19">
                  <c:v>543</c:v>
                </c:pt>
              </c:numCache>
            </c:numRef>
          </c:val>
        </c:ser>
        <c:ser>
          <c:idx val="1"/>
          <c:order val="1"/>
          <c:tx>
            <c:strRef>
              <c:f>'file 2'!$I$29:$I$30</c:f>
              <c:strCache>
                <c:ptCount val="1"/>
                <c:pt idx="0">
                  <c:v>02-Apr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2'!$I$31:$I$98</c:f>
              <c:numCache>
                <c:formatCode>General</c:formatCode>
                <c:ptCount val="24"/>
                <c:pt idx="8">
                  <c:v>410</c:v>
                </c:pt>
                <c:pt idx="13">
                  <c:v>515</c:v>
                </c:pt>
              </c:numCache>
            </c:numRef>
          </c:val>
        </c:ser>
        <c:ser>
          <c:idx val="2"/>
          <c:order val="2"/>
          <c:tx>
            <c:strRef>
              <c:f>'file 2'!$J$29:$J$30</c:f>
              <c:strCache>
                <c:ptCount val="1"/>
                <c:pt idx="0">
                  <c:v>03-Apr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2'!$J$31:$J$98</c:f>
              <c:numCache>
                <c:formatCode>General</c:formatCode>
                <c:ptCount val="24"/>
                <c:pt idx="6">
                  <c:v>275</c:v>
                </c:pt>
                <c:pt idx="14">
                  <c:v>527</c:v>
                </c:pt>
                <c:pt idx="15">
                  <c:v>527</c:v>
                </c:pt>
              </c:numCache>
            </c:numRef>
          </c:val>
        </c:ser>
        <c:ser>
          <c:idx val="3"/>
          <c:order val="3"/>
          <c:tx>
            <c:strRef>
              <c:f>'file 2'!$K$29:$K$30</c:f>
              <c:strCache>
                <c:ptCount val="1"/>
                <c:pt idx="0">
                  <c:v>04-Apr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2'!$K$31:$K$98</c:f>
              <c:numCache>
                <c:formatCode>General</c:formatCode>
                <c:ptCount val="24"/>
                <c:pt idx="0">
                  <c:v>182</c:v>
                </c:pt>
                <c:pt idx="11">
                  <c:v>447</c:v>
                </c:pt>
                <c:pt idx="21">
                  <c:v>697</c:v>
                </c:pt>
              </c:numCache>
            </c:numRef>
          </c:val>
        </c:ser>
        <c:ser>
          <c:idx val="4"/>
          <c:order val="4"/>
          <c:tx>
            <c:strRef>
              <c:f>'file 2'!$L$29:$L$30</c:f>
              <c:strCache>
                <c:ptCount val="1"/>
                <c:pt idx="0">
                  <c:v>05-Apr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2'!$L$31:$L$98</c:f>
              <c:numCache>
                <c:formatCode>General</c:formatCode>
                <c:ptCount val="24"/>
                <c:pt idx="5">
                  <c:v>233</c:v>
                </c:pt>
                <c:pt idx="9">
                  <c:v>413</c:v>
                </c:pt>
              </c:numCache>
            </c:numRef>
          </c:val>
        </c:ser>
        <c:ser>
          <c:idx val="5"/>
          <c:order val="5"/>
          <c:tx>
            <c:strRef>
              <c:f>'file 2'!$M$29:$M$30</c:f>
              <c:strCache>
                <c:ptCount val="1"/>
                <c:pt idx="0">
                  <c:v>06-Apr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2'!$M$31:$M$98</c:f>
              <c:numCache>
                <c:formatCode>General</c:formatCode>
                <c:ptCount val="24"/>
                <c:pt idx="1">
                  <c:v>210</c:v>
                </c:pt>
              </c:numCache>
            </c:numRef>
          </c:val>
        </c:ser>
        <c:ser>
          <c:idx val="6"/>
          <c:order val="6"/>
          <c:tx>
            <c:strRef>
              <c:f>'file 2'!$N$29:$N$30</c:f>
              <c:strCache>
                <c:ptCount val="1"/>
                <c:pt idx="0">
                  <c:v>07-Apr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Mod val="40000"/>
                    <a:lumOff val="60000"/>
                  </a:schemeClr>
                </a:gs>
                <a:gs pos="90000">
                  <a:schemeClr val="accent1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2'!$N$31:$N$98</c:f>
              <c:numCache>
                <c:formatCode>General</c:formatCode>
                <c:ptCount val="24"/>
                <c:pt idx="2">
                  <c:v>215</c:v>
                </c:pt>
                <c:pt idx="7">
                  <c:v>395</c:v>
                </c:pt>
                <c:pt idx="16">
                  <c:v>535</c:v>
                </c:pt>
                <c:pt idx="17">
                  <c:v>535</c:v>
                </c:pt>
              </c:numCache>
            </c:numRef>
          </c:val>
        </c:ser>
        <c:ser>
          <c:idx val="7"/>
          <c:order val="7"/>
          <c:tx>
            <c:strRef>
              <c:f>'file 2'!$O$29:$O$30</c:f>
              <c:strCache>
                <c:ptCount val="1"/>
                <c:pt idx="0">
                  <c:v>08-Apr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2'!$O$31:$O$98</c:f>
              <c:numCache>
                <c:formatCode>General</c:formatCode>
                <c:ptCount val="24"/>
                <c:pt idx="4">
                  <c:v>217</c:v>
                </c:pt>
                <c:pt idx="10">
                  <c:v>417</c:v>
                </c:pt>
              </c:numCache>
            </c:numRef>
          </c:val>
        </c:ser>
        <c:ser>
          <c:idx val="8"/>
          <c:order val="8"/>
          <c:tx>
            <c:strRef>
              <c:f>'file 2'!$P$29:$P$30</c:f>
              <c:strCache>
                <c:ptCount val="1"/>
                <c:pt idx="0">
                  <c:v>09-Apr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lumMod val="40000"/>
                    <a:lumOff val="60000"/>
                  </a:schemeClr>
                </a:gs>
                <a:gs pos="90000">
                  <a:schemeClr val="accent3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2'!$P$31:$P$98</c:f>
              <c:numCache>
                <c:formatCode>General</c:formatCode>
                <c:ptCount val="24"/>
                <c:pt idx="3">
                  <c:v>215</c:v>
                </c:pt>
                <c:pt idx="22">
                  <c:v>705</c:v>
                </c:pt>
                <c:pt idx="23">
                  <c:v>705</c:v>
                </c:pt>
              </c:numCache>
            </c:numRef>
          </c:val>
        </c:ser>
        <c:ser>
          <c:idx val="9"/>
          <c:order val="9"/>
          <c:tx>
            <c:strRef>
              <c:f>'file 2'!$Q$29:$Q$30</c:f>
              <c:strCache>
                <c:ptCount val="1"/>
                <c:pt idx="0">
                  <c:v>10-Apr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2'!$Q$31:$Q$98</c:f>
              <c:numCache>
                <c:formatCode>General</c:formatCode>
                <c:ptCount val="24"/>
                <c:pt idx="20">
                  <c:v>590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31074054"/>
        <c:axId val="462600293"/>
      </c:barChart>
      <c:catAx>
        <c:axId val="63107405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00293"/>
        <c:crosses val="autoZero"/>
        <c:auto val="1"/>
        <c:lblAlgn val="ctr"/>
        <c:lblOffset val="100"/>
        <c:noMultiLvlLbl val="0"/>
      </c:catAx>
      <c:valAx>
        <c:axId val="4626002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10740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[Book1.xlsx]file 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'file 2'!$H$29:$H$30</c:f>
              <c:strCache>
                <c:ptCount val="1"/>
                <c:pt idx="0">
                  <c:v>01-Apr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2'!$H$31:$H$98</c:f>
              <c:numCache>
                <c:formatCode>General</c:formatCode>
                <c:ptCount val="24"/>
                <c:pt idx="12">
                  <c:v>448</c:v>
                </c:pt>
                <c:pt idx="18">
                  <c:v>543</c:v>
                </c:pt>
                <c:pt idx="19">
                  <c:v>543</c:v>
                </c:pt>
              </c:numCache>
            </c:numRef>
          </c:val>
        </c:ser>
        <c:ser>
          <c:idx val="1"/>
          <c:order val="1"/>
          <c:tx>
            <c:strRef>
              <c:f>'file 2'!$I$29:$I$30</c:f>
              <c:strCache>
                <c:ptCount val="1"/>
                <c:pt idx="0">
                  <c:v>02-Apr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2'!$I$31:$I$98</c:f>
              <c:numCache>
                <c:formatCode>General</c:formatCode>
                <c:ptCount val="24"/>
                <c:pt idx="8">
                  <c:v>410</c:v>
                </c:pt>
                <c:pt idx="13">
                  <c:v>515</c:v>
                </c:pt>
              </c:numCache>
            </c:numRef>
          </c:val>
        </c:ser>
        <c:ser>
          <c:idx val="2"/>
          <c:order val="2"/>
          <c:tx>
            <c:strRef>
              <c:f>'file 2'!$J$29:$J$30</c:f>
              <c:strCache>
                <c:ptCount val="1"/>
                <c:pt idx="0">
                  <c:v>03-Apr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2'!$J$31:$J$98</c:f>
              <c:numCache>
                <c:formatCode>General</c:formatCode>
                <c:ptCount val="24"/>
                <c:pt idx="6">
                  <c:v>275</c:v>
                </c:pt>
                <c:pt idx="14">
                  <c:v>527</c:v>
                </c:pt>
                <c:pt idx="15">
                  <c:v>527</c:v>
                </c:pt>
              </c:numCache>
            </c:numRef>
          </c:val>
        </c:ser>
        <c:ser>
          <c:idx val="3"/>
          <c:order val="3"/>
          <c:tx>
            <c:strRef>
              <c:f>'file 2'!$K$29:$K$30</c:f>
              <c:strCache>
                <c:ptCount val="1"/>
                <c:pt idx="0">
                  <c:v>04-Apr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2'!$K$31:$K$98</c:f>
              <c:numCache>
                <c:formatCode>General</c:formatCode>
                <c:ptCount val="24"/>
                <c:pt idx="0">
                  <c:v>182</c:v>
                </c:pt>
                <c:pt idx="11">
                  <c:v>447</c:v>
                </c:pt>
                <c:pt idx="21">
                  <c:v>697</c:v>
                </c:pt>
              </c:numCache>
            </c:numRef>
          </c:val>
        </c:ser>
        <c:ser>
          <c:idx val="4"/>
          <c:order val="4"/>
          <c:tx>
            <c:strRef>
              <c:f>'file 2'!$L$29:$L$30</c:f>
              <c:strCache>
                <c:ptCount val="1"/>
                <c:pt idx="0">
                  <c:v>05-Apr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2'!$L$31:$L$98</c:f>
              <c:numCache>
                <c:formatCode>General</c:formatCode>
                <c:ptCount val="24"/>
                <c:pt idx="5">
                  <c:v>233</c:v>
                </c:pt>
                <c:pt idx="9">
                  <c:v>413</c:v>
                </c:pt>
              </c:numCache>
            </c:numRef>
          </c:val>
        </c:ser>
        <c:ser>
          <c:idx val="5"/>
          <c:order val="5"/>
          <c:tx>
            <c:strRef>
              <c:f>'file 2'!$M$29:$M$30</c:f>
              <c:strCache>
                <c:ptCount val="1"/>
                <c:pt idx="0">
                  <c:v>06-Apr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2'!$M$31:$M$98</c:f>
              <c:numCache>
                <c:formatCode>General</c:formatCode>
                <c:ptCount val="24"/>
                <c:pt idx="1">
                  <c:v>210</c:v>
                </c:pt>
              </c:numCache>
            </c:numRef>
          </c:val>
        </c:ser>
        <c:ser>
          <c:idx val="6"/>
          <c:order val="6"/>
          <c:tx>
            <c:strRef>
              <c:f>'file 2'!$N$29:$N$30</c:f>
              <c:strCache>
                <c:ptCount val="1"/>
                <c:pt idx="0">
                  <c:v>07-Apr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2'!$N$31:$N$98</c:f>
              <c:numCache>
                <c:formatCode>General</c:formatCode>
                <c:ptCount val="24"/>
                <c:pt idx="2">
                  <c:v>215</c:v>
                </c:pt>
                <c:pt idx="7">
                  <c:v>395</c:v>
                </c:pt>
                <c:pt idx="16">
                  <c:v>535</c:v>
                </c:pt>
                <c:pt idx="17">
                  <c:v>535</c:v>
                </c:pt>
              </c:numCache>
            </c:numRef>
          </c:val>
        </c:ser>
        <c:ser>
          <c:idx val="7"/>
          <c:order val="7"/>
          <c:tx>
            <c:strRef>
              <c:f>'file 2'!$O$29:$O$30</c:f>
              <c:strCache>
                <c:ptCount val="1"/>
                <c:pt idx="0">
                  <c:v>08-Apr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2'!$O$31:$O$98</c:f>
              <c:numCache>
                <c:formatCode>General</c:formatCode>
                <c:ptCount val="24"/>
                <c:pt idx="4">
                  <c:v>217</c:v>
                </c:pt>
                <c:pt idx="10">
                  <c:v>417</c:v>
                </c:pt>
              </c:numCache>
            </c:numRef>
          </c:val>
        </c:ser>
        <c:ser>
          <c:idx val="8"/>
          <c:order val="8"/>
          <c:tx>
            <c:strRef>
              <c:f>'file 2'!$P$29:$P$30</c:f>
              <c:strCache>
                <c:ptCount val="1"/>
                <c:pt idx="0">
                  <c:v>09-Apr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2'!$P$31:$P$98</c:f>
              <c:numCache>
                <c:formatCode>General</c:formatCode>
                <c:ptCount val="24"/>
                <c:pt idx="3">
                  <c:v>215</c:v>
                </c:pt>
                <c:pt idx="22">
                  <c:v>705</c:v>
                </c:pt>
                <c:pt idx="23">
                  <c:v>705</c:v>
                </c:pt>
              </c:numCache>
            </c:numRef>
          </c:val>
        </c:ser>
        <c:ser>
          <c:idx val="9"/>
          <c:order val="9"/>
          <c:tx>
            <c:strRef>
              <c:f>'file 2'!$Q$29:$Q$30</c:f>
              <c:strCache>
                <c:ptCount val="1"/>
                <c:pt idx="0">
                  <c:v>10-Apr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2'!$Q$31:$Q$98</c:f>
              <c:numCache>
                <c:formatCode>General</c:formatCode>
                <c:ptCount val="24"/>
                <c:pt idx="20">
                  <c:v>590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[Book1.xlsx]file 2!PivotTable2</c:name>
    <c:fmtId val="4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'file 2'!$H$29:$H$30</c:f>
              <c:strCache>
                <c:ptCount val="1"/>
                <c:pt idx="0">
                  <c:v>01-Apr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2'!$H$31:$H$98</c:f>
              <c:numCache>
                <c:formatCode>General</c:formatCode>
                <c:ptCount val="24"/>
                <c:pt idx="12">
                  <c:v>448</c:v>
                </c:pt>
                <c:pt idx="18">
                  <c:v>543</c:v>
                </c:pt>
                <c:pt idx="19">
                  <c:v>543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'file 2'!$I$29:$I$30</c:f>
              <c:strCache>
                <c:ptCount val="1"/>
                <c:pt idx="0">
                  <c:v>02-Apr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2'!$I$31:$I$98</c:f>
              <c:numCache>
                <c:formatCode>General</c:formatCode>
                <c:ptCount val="24"/>
                <c:pt idx="8">
                  <c:v>410</c:v>
                </c:pt>
                <c:pt idx="13">
                  <c:v>515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'file 2'!$J$29:$J$30</c:f>
              <c:strCache>
                <c:ptCount val="1"/>
                <c:pt idx="0">
                  <c:v>03-Apr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2'!$J$31:$J$98</c:f>
              <c:numCache>
                <c:formatCode>General</c:formatCode>
                <c:ptCount val="24"/>
                <c:pt idx="6">
                  <c:v>275</c:v>
                </c:pt>
                <c:pt idx="14">
                  <c:v>527</c:v>
                </c:pt>
                <c:pt idx="15">
                  <c:v>527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'file 2'!$K$29:$K$30</c:f>
              <c:strCache>
                <c:ptCount val="1"/>
                <c:pt idx="0">
                  <c:v>04-Apr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2'!$K$31:$K$98</c:f>
              <c:numCache>
                <c:formatCode>General</c:formatCode>
                <c:ptCount val="24"/>
                <c:pt idx="0">
                  <c:v>182</c:v>
                </c:pt>
                <c:pt idx="11">
                  <c:v>447</c:v>
                </c:pt>
                <c:pt idx="21">
                  <c:v>697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'file 2'!$L$29:$L$30</c:f>
              <c:strCache>
                <c:ptCount val="1"/>
                <c:pt idx="0">
                  <c:v>05-Apr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2'!$L$31:$L$98</c:f>
              <c:numCache>
                <c:formatCode>General</c:formatCode>
                <c:ptCount val="24"/>
                <c:pt idx="5">
                  <c:v>233</c:v>
                </c:pt>
                <c:pt idx="9">
                  <c:v>413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'file 2'!$M$29:$M$30</c:f>
              <c:strCache>
                <c:ptCount val="1"/>
                <c:pt idx="0">
                  <c:v>06-Apr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2'!$M$31:$M$98</c:f>
              <c:numCache>
                <c:formatCode>General</c:formatCode>
                <c:ptCount val="24"/>
                <c:pt idx="1">
                  <c:v>210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'file 2'!$N$29:$N$30</c:f>
              <c:strCache>
                <c:ptCount val="1"/>
                <c:pt idx="0">
                  <c:v>07-Apr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2'!$N$31:$N$98</c:f>
              <c:numCache>
                <c:formatCode>General</c:formatCode>
                <c:ptCount val="24"/>
                <c:pt idx="2">
                  <c:v>215</c:v>
                </c:pt>
                <c:pt idx="7">
                  <c:v>395</c:v>
                </c:pt>
                <c:pt idx="16">
                  <c:v>535</c:v>
                </c:pt>
                <c:pt idx="17">
                  <c:v>535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'file 2'!$O$29:$O$30</c:f>
              <c:strCache>
                <c:ptCount val="1"/>
                <c:pt idx="0">
                  <c:v>08-Apr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2'!$O$31:$O$98</c:f>
              <c:numCache>
                <c:formatCode>General</c:formatCode>
                <c:ptCount val="24"/>
                <c:pt idx="4">
                  <c:v>217</c:v>
                </c:pt>
                <c:pt idx="10">
                  <c:v>417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'file 2'!$P$29:$P$30</c:f>
              <c:strCache>
                <c:ptCount val="1"/>
                <c:pt idx="0">
                  <c:v>09-Apr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2'!$P$31:$P$98</c:f>
              <c:numCache>
                <c:formatCode>General</c:formatCode>
                <c:ptCount val="24"/>
                <c:pt idx="3">
                  <c:v>215</c:v>
                </c:pt>
                <c:pt idx="22">
                  <c:v>705</c:v>
                </c:pt>
                <c:pt idx="23">
                  <c:v>705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'file 2'!$Q$29:$Q$30</c:f>
              <c:strCache>
                <c:ptCount val="1"/>
                <c:pt idx="0">
                  <c:v>10-Apr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'file 2'!$E$31:$G$98</c:f>
              <c:multiLvlStrCache>
                <c:ptCount val="24"/>
                <c:lvl>
                  <c:pt idx="0">
                    <c:v>500</c:v>
                  </c:pt>
                  <c:pt idx="1">
                    <c:v>483</c:v>
                  </c:pt>
                  <c:pt idx="2">
                    <c:v>487</c:v>
                  </c:pt>
                  <c:pt idx="3">
                    <c:v>495</c:v>
                  </c:pt>
                  <c:pt idx="4">
                    <c:v>491</c:v>
                  </c:pt>
                  <c:pt idx="5">
                    <c:v>540</c:v>
                  </c:pt>
                  <c:pt idx="6">
                    <c:v>770</c:v>
                  </c:pt>
                  <c:pt idx="7">
                    <c:v>486</c:v>
                  </c:pt>
                  <c:pt idx="8">
                    <c:v>713</c:v>
                  </c:pt>
                  <c:pt idx="9">
                    <c:v>800</c:v>
                  </c:pt>
                  <c:pt idx="10">
                    <c:v>490</c:v>
                  </c:pt>
                  <c:pt idx="11">
                    <c:v>600</c:v>
                  </c:pt>
                  <c:pt idx="12">
                    <c:v>709</c:v>
                  </c:pt>
                  <c:pt idx="13">
                    <c:v>711</c:v>
                  </c:pt>
                  <c:pt idx="14">
                    <c:v>780</c:v>
                  </c:pt>
                  <c:pt idx="15">
                    <c:v>980</c:v>
                  </c:pt>
                  <c:pt idx="16">
                    <c:v>890</c:v>
                  </c:pt>
                  <c:pt idx="17">
                    <c:v>900</c:v>
                  </c:pt>
                  <c:pt idx="18">
                    <c:v>890</c:v>
                  </c:pt>
                  <c:pt idx="19">
                    <c:v>900</c:v>
                  </c:pt>
                  <c:pt idx="20">
                    <c:v>700</c:v>
                  </c:pt>
                  <c:pt idx="21">
                    <c:v>900</c:v>
                  </c:pt>
                  <c:pt idx="22">
                    <c:v>790</c:v>
                  </c:pt>
                  <c:pt idx="23">
                    <c:v>900</c:v>
                  </c:pt>
                </c:lvl>
                <c:lvl>
                  <c:pt idx="0">
                    <c:v>318</c:v>
                  </c:pt>
                  <c:pt idx="1">
                    <c:v>273</c:v>
                  </c:pt>
                  <c:pt idx="2">
                    <c:v>272</c:v>
                  </c:pt>
                  <c:pt idx="3">
                    <c:v>280</c:v>
                  </c:pt>
                  <c:pt idx="4">
                    <c:v>274</c:v>
                  </c:pt>
                  <c:pt idx="5">
                    <c:v>307</c:v>
                  </c:pt>
                  <c:pt idx="6">
                    <c:v>495</c:v>
                  </c:pt>
                  <c:pt idx="7">
                    <c:v>91</c:v>
                  </c:pt>
                  <c:pt idx="8">
                    <c:v>303</c:v>
                  </c:pt>
                  <c:pt idx="9">
                    <c:v>387</c:v>
                  </c:pt>
                  <c:pt idx="10">
                    <c:v>73</c:v>
                  </c:pt>
                  <c:pt idx="11">
                    <c:v>153</c:v>
                  </c:pt>
                  <c:pt idx="12">
                    <c:v>261</c:v>
                  </c:pt>
                  <c:pt idx="13">
                    <c:v>196</c:v>
                  </c:pt>
                  <c:pt idx="14">
                    <c:v>253</c:v>
                  </c:pt>
                  <c:pt idx="15">
                    <c:v>453</c:v>
                  </c:pt>
                  <c:pt idx="16">
                    <c:v>355</c:v>
                  </c:pt>
                  <c:pt idx="17">
                    <c:v>365</c:v>
                  </c:pt>
                  <c:pt idx="18">
                    <c:v>347</c:v>
                  </c:pt>
                  <c:pt idx="19">
                    <c:v>357</c:v>
                  </c:pt>
                  <c:pt idx="20">
                    <c:v>110</c:v>
                  </c:pt>
                  <c:pt idx="21">
                    <c:v>203</c:v>
                  </c:pt>
                  <c:pt idx="22">
                    <c:v>85</c:v>
                  </c:pt>
                  <c:pt idx="23">
                    <c:v>195</c:v>
                  </c:pt>
                </c:lvl>
                <c:lvl>
                  <c:pt idx="0">
                    <c:v>182</c:v>
                  </c:pt>
                  <c:pt idx="1">
                    <c:v>210</c:v>
                  </c:pt>
                  <c:pt idx="2">
                    <c:v>215</c:v>
                  </c:pt>
                  <c:pt idx="4">
                    <c:v>217</c:v>
                  </c:pt>
                  <c:pt idx="5">
                    <c:v>233</c:v>
                  </c:pt>
                  <c:pt idx="6">
                    <c:v>275</c:v>
                  </c:pt>
                  <c:pt idx="7">
                    <c:v>395</c:v>
                  </c:pt>
                  <c:pt idx="8">
                    <c:v>410</c:v>
                  </c:pt>
                  <c:pt idx="9">
                    <c:v>413</c:v>
                  </c:pt>
                  <c:pt idx="10">
                    <c:v>417</c:v>
                  </c:pt>
                  <c:pt idx="11">
                    <c:v>447</c:v>
                  </c:pt>
                  <c:pt idx="12">
                    <c:v>448</c:v>
                  </c:pt>
                  <c:pt idx="13">
                    <c:v>515</c:v>
                  </c:pt>
                  <c:pt idx="14">
                    <c:v>527</c:v>
                  </c:pt>
                  <c:pt idx="16">
                    <c:v>535</c:v>
                  </c:pt>
                  <c:pt idx="18">
                    <c:v>543</c:v>
                  </c:pt>
                  <c:pt idx="20">
                    <c:v>590</c:v>
                  </c:pt>
                  <c:pt idx="21">
                    <c:v>697</c:v>
                  </c:pt>
                  <c:pt idx="22">
                    <c:v>705</c:v>
                  </c:pt>
                </c:lvl>
              </c:multiLvlStrCache>
            </c:multiLvlStrRef>
          </c:cat>
          <c:val>
            <c:numRef>
              <c:f>'file 2'!$Q$31:$Q$98</c:f>
              <c:numCache>
                <c:formatCode>General</c:formatCode>
                <c:ptCount val="24"/>
                <c:pt idx="20">
                  <c:v>590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5938438"/>
        <c:axId val="132342756"/>
      </c:lineChart>
      <c:catAx>
        <c:axId val="1959384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342756"/>
        <c:crosses val="autoZero"/>
        <c:auto val="1"/>
        <c:lblAlgn val="ctr"/>
        <c:lblOffset val="100"/>
        <c:noMultiLvlLbl val="0"/>
      </c:catAx>
      <c:valAx>
        <c:axId val="1323427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9384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520700</xdr:colOff>
      <xdr:row>5</xdr:row>
      <xdr:rowOff>165100</xdr:rowOff>
    </xdr:from>
    <xdr:to>
      <xdr:col>15</xdr:col>
      <xdr:colOff>469900</xdr:colOff>
      <xdr:row>20</xdr:row>
      <xdr:rowOff>165100</xdr:rowOff>
    </xdr:to>
    <xdr:graphicFrame>
      <xdr:nvGraphicFramePr>
        <xdr:cNvPr id="2" name="Chart 1"/>
        <xdr:cNvGraphicFramePr/>
      </xdr:nvGraphicFramePr>
      <xdr:xfrm>
        <a:off x="8018780" y="1079500"/>
        <a:ext cx="59785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255270</xdr:colOff>
      <xdr:row>4</xdr:row>
      <xdr:rowOff>82550</xdr:rowOff>
    </xdr:from>
    <xdr:to>
      <xdr:col>27</xdr:col>
      <xdr:colOff>335915</xdr:colOff>
      <xdr:row>23</xdr:row>
      <xdr:rowOff>45720</xdr:rowOff>
    </xdr:to>
    <xdr:graphicFrame>
      <xdr:nvGraphicFramePr>
        <xdr:cNvPr id="7" name="Chart 6"/>
        <xdr:cNvGraphicFramePr/>
      </xdr:nvGraphicFramePr>
      <xdr:xfrm>
        <a:off x="2693670" y="814070"/>
        <a:ext cx="13560425" cy="3437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168275</xdr:colOff>
      <xdr:row>25</xdr:row>
      <xdr:rowOff>80010</xdr:rowOff>
    </xdr:from>
    <xdr:to>
      <xdr:col>36</xdr:col>
      <xdr:colOff>216535</xdr:colOff>
      <xdr:row>45</xdr:row>
      <xdr:rowOff>121285</xdr:rowOff>
    </xdr:to>
    <xdr:graphicFrame>
      <xdr:nvGraphicFramePr>
        <xdr:cNvPr id="8" name="Chart 7"/>
        <xdr:cNvGraphicFramePr/>
      </xdr:nvGraphicFramePr>
      <xdr:xfrm>
        <a:off x="12215495" y="4652010"/>
        <a:ext cx="9070340" cy="369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217170</xdr:colOff>
      <xdr:row>47</xdr:row>
      <xdr:rowOff>142875</xdr:rowOff>
    </xdr:from>
    <xdr:to>
      <xdr:col>35</xdr:col>
      <xdr:colOff>379730</xdr:colOff>
      <xdr:row>74</xdr:row>
      <xdr:rowOff>85725</xdr:rowOff>
    </xdr:to>
    <xdr:graphicFrame>
      <xdr:nvGraphicFramePr>
        <xdr:cNvPr id="9" name="Chart 8"/>
        <xdr:cNvGraphicFramePr/>
      </xdr:nvGraphicFramePr>
      <xdr:xfrm>
        <a:off x="12752070" y="8738235"/>
        <a:ext cx="8056880" cy="4880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3420833333" refreshedBy="Pawandeep" recordCount="40">
  <cacheSource type="worksheet">
    <worksheetSource ref="B2:E42" sheet="file1"/>
  </cacheSource>
  <cacheFields count="4">
    <cacheField name="Date" numFmtId="180">
      <sharedItems containsSemiMixedTypes="0" containsString="0" containsNonDate="0" containsDate="1" minDate="2026-04-01T00:00:00" maxDate="2026-04-10T00:00:00" count="1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</sharedItems>
    </cacheField>
    <cacheField name="Food Item" numFmtId="0">
      <sharedItems count="25">
        <s v="Apple"/>
        <s v="Rice"/>
        <s v="Milk"/>
        <s v="Egg"/>
        <s v="Banana"/>
        <s v="Roti"/>
        <s v="Chicken"/>
        <s v="Tea"/>
        <s v="Bread"/>
        <s v="Butter"/>
        <s v="Dal"/>
        <s v="Paneer"/>
        <s v="Orange"/>
        <s v="Poha"/>
        <s v="Oats"/>
        <s v="Yogurt"/>
        <s v="Almonds"/>
        <s v="Coffee"/>
        <s v="Idli"/>
        <s v="Sambar"/>
        <s v="Pasta"/>
        <s v="Cheese"/>
        <s v="Eggs"/>
        <s v="Sandwich"/>
        <s v="Upma"/>
      </sharedItems>
    </cacheField>
    <cacheField name="Category" numFmtId="0">
      <sharedItems count="5">
        <s v="Fruit"/>
        <s v="Meal"/>
        <s v="Dairy"/>
        <s v="Protein"/>
        <s v="Beverage"/>
      </sharedItems>
    </cacheField>
    <cacheField name="Calories" numFmtId="0">
      <sharedItems containsSemiMixedTypes="0" containsString="0" containsNumber="1" containsInteger="1" minValue="40" maxValue="265" count="20">
        <n v="95"/>
        <n v="250"/>
        <n v="120"/>
        <n v="78"/>
        <n v="105"/>
        <n v="240"/>
        <n v="50"/>
        <n v="150"/>
        <n v="102"/>
        <n v="180"/>
        <n v="265"/>
        <n v="62"/>
        <n v="160"/>
        <n v="110"/>
        <n v="170"/>
        <n v="40"/>
        <n v="140"/>
        <n v="220"/>
        <n v="200"/>
        <n v="15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3571759259" refreshedBy="Pawandeep" recordCount="40">
  <cacheSource type="worksheet">
    <worksheetSource ref="H2:K42" sheet="file1"/>
  </cacheSource>
  <cacheFields count="4">
    <cacheField name="Date" numFmtId="180">
      <sharedItems containsSemiMixedTypes="0" containsString="0" containsNonDate="0" containsDate="1" minDate="2026-04-01T00:00:00" maxDate="2026-04-10T00:00:00" count="1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</sharedItems>
    </cacheField>
    <cacheField name="Total Calories" numFmtId="0">
      <sharedItems containsSemiMixedTypes="0" containsString="0" containsNumber="1" containsInteger="1" minValue="145" maxValue="705" count="28">
        <n v="543"/>
        <n v="448"/>
        <n v="198"/>
        <n v="515"/>
        <n v="410"/>
        <n v="290"/>
        <n v="527"/>
        <n v="377"/>
        <n v="275"/>
        <n v="697"/>
        <n v="447"/>
        <n v="182"/>
        <n v="413"/>
        <n v="233"/>
        <n v="155"/>
        <n v="480"/>
        <n v="320"/>
        <n v="210"/>
        <n v="535"/>
        <n v="395"/>
        <n v="215"/>
        <n v="637"/>
        <n v="417"/>
        <n v="217"/>
        <n v="705"/>
        <n v="455"/>
        <n v="590"/>
        <n v="145"/>
      </sharedItems>
    </cacheField>
    <cacheField name="Target" numFmtId="0">
      <sharedItems containsSemiMixedTypes="0" containsString="0" containsNumber="1" containsInteger="1" minValue="155" maxValue="980" count="34">
        <n v="900"/>
        <n v="890"/>
        <n v="709"/>
        <n v="198"/>
        <n v="711"/>
        <n v="515"/>
        <n v="713"/>
        <n v="290"/>
        <n v="780"/>
        <n v="980"/>
        <n v="377"/>
        <n v="770"/>
        <n v="700"/>
        <n v="600"/>
        <n v="500"/>
        <n v="800"/>
        <n v="413"/>
        <n v="540"/>
        <n v="155"/>
        <n v="480"/>
        <n v="481"/>
        <n v="482"/>
        <n v="483"/>
        <n v="486"/>
        <n v="487"/>
        <n v="488"/>
        <n v="489"/>
        <n v="490"/>
        <n v="491"/>
        <n v="790"/>
        <n v="455"/>
        <n v="495"/>
        <n v="590"/>
        <n v="410"/>
      </sharedItems>
    </cacheField>
    <cacheField name="Difference" numFmtId="0">
      <sharedItems containsSemiMixedTypes="0" containsString="0" containsNumber="1" containsInteger="1" minValue="-149" maxValue="655" count="31">
        <n v="357"/>
        <n v="347"/>
        <n v="261"/>
        <n v="0"/>
        <n v="196"/>
        <n v="303"/>
        <n v="253"/>
        <n v="453"/>
        <n v="495"/>
        <n v="3"/>
        <n v="203"/>
        <n v="153"/>
        <n v="318"/>
        <n v="387"/>
        <n v="307"/>
        <n v="1"/>
        <n v="162"/>
        <n v="273"/>
        <n v="365"/>
        <n v="355"/>
        <n v="91"/>
        <n v="272"/>
        <n v="-149"/>
        <n v="-148"/>
        <n v="73"/>
        <n v="274"/>
        <n v="195"/>
        <n v="85"/>
        <n v="280"/>
        <n v="110"/>
        <n v="65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</r>
  <r>
    <x v="0"/>
    <x v="1"/>
    <x v="1"/>
    <x v="1"/>
  </r>
  <r>
    <x v="0"/>
    <x v="2"/>
    <x v="2"/>
    <x v="2"/>
  </r>
  <r>
    <x v="0"/>
    <x v="3"/>
    <x v="3"/>
    <x v="3"/>
  </r>
  <r>
    <x v="1"/>
    <x v="4"/>
    <x v="0"/>
    <x v="4"/>
  </r>
  <r>
    <x v="1"/>
    <x v="5"/>
    <x v="1"/>
    <x v="2"/>
  </r>
  <r>
    <x v="1"/>
    <x v="6"/>
    <x v="3"/>
    <x v="5"/>
  </r>
  <r>
    <x v="1"/>
    <x v="7"/>
    <x v="4"/>
    <x v="6"/>
  </r>
  <r>
    <x v="2"/>
    <x v="8"/>
    <x v="1"/>
    <x v="7"/>
  </r>
  <r>
    <x v="2"/>
    <x v="9"/>
    <x v="2"/>
    <x v="8"/>
  </r>
  <r>
    <x v="2"/>
    <x v="10"/>
    <x v="3"/>
    <x v="9"/>
  </r>
  <r>
    <x v="2"/>
    <x v="0"/>
    <x v="0"/>
    <x v="0"/>
  </r>
  <r>
    <x v="3"/>
    <x v="1"/>
    <x v="1"/>
    <x v="1"/>
  </r>
  <r>
    <x v="3"/>
    <x v="11"/>
    <x v="3"/>
    <x v="10"/>
  </r>
  <r>
    <x v="3"/>
    <x v="2"/>
    <x v="2"/>
    <x v="2"/>
  </r>
  <r>
    <x v="3"/>
    <x v="12"/>
    <x v="0"/>
    <x v="11"/>
  </r>
  <r>
    <x v="4"/>
    <x v="13"/>
    <x v="1"/>
    <x v="9"/>
  </r>
  <r>
    <x v="4"/>
    <x v="3"/>
    <x v="3"/>
    <x v="3"/>
  </r>
  <r>
    <x v="4"/>
    <x v="7"/>
    <x v="4"/>
    <x v="6"/>
  </r>
  <r>
    <x v="4"/>
    <x v="4"/>
    <x v="0"/>
    <x v="4"/>
  </r>
  <r>
    <x v="5"/>
    <x v="14"/>
    <x v="1"/>
    <x v="12"/>
  </r>
  <r>
    <x v="5"/>
    <x v="15"/>
    <x v="2"/>
    <x v="13"/>
  </r>
  <r>
    <x v="5"/>
    <x v="16"/>
    <x v="3"/>
    <x v="14"/>
  </r>
  <r>
    <x v="5"/>
    <x v="17"/>
    <x v="4"/>
    <x v="15"/>
  </r>
  <r>
    <x v="6"/>
    <x v="18"/>
    <x v="1"/>
    <x v="16"/>
  </r>
  <r>
    <x v="6"/>
    <x v="19"/>
    <x v="3"/>
    <x v="9"/>
  </r>
  <r>
    <x v="6"/>
    <x v="2"/>
    <x v="2"/>
    <x v="2"/>
  </r>
  <r>
    <x v="6"/>
    <x v="0"/>
    <x v="0"/>
    <x v="0"/>
  </r>
  <r>
    <x v="7"/>
    <x v="20"/>
    <x v="1"/>
    <x v="17"/>
  </r>
  <r>
    <x v="7"/>
    <x v="21"/>
    <x v="2"/>
    <x v="18"/>
  </r>
  <r>
    <x v="7"/>
    <x v="22"/>
    <x v="3"/>
    <x v="19"/>
  </r>
  <r>
    <x v="7"/>
    <x v="12"/>
    <x v="0"/>
    <x v="11"/>
  </r>
  <r>
    <x v="8"/>
    <x v="23"/>
    <x v="1"/>
    <x v="1"/>
  </r>
  <r>
    <x v="8"/>
    <x v="6"/>
    <x v="3"/>
    <x v="5"/>
  </r>
  <r>
    <x v="8"/>
    <x v="15"/>
    <x v="2"/>
    <x v="13"/>
  </r>
  <r>
    <x v="8"/>
    <x v="4"/>
    <x v="0"/>
    <x v="4"/>
  </r>
  <r>
    <x v="9"/>
    <x v="24"/>
    <x v="1"/>
    <x v="9"/>
  </r>
  <r>
    <x v="9"/>
    <x v="11"/>
    <x v="3"/>
    <x v="10"/>
  </r>
  <r>
    <x v="9"/>
    <x v="7"/>
    <x v="4"/>
    <x v="6"/>
  </r>
  <r>
    <x v="9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">
  <r>
    <x v="0"/>
    <x v="0"/>
    <x v="0"/>
    <x v="0"/>
  </r>
  <r>
    <x v="0"/>
    <x v="0"/>
    <x v="1"/>
    <x v="1"/>
  </r>
  <r>
    <x v="0"/>
    <x v="1"/>
    <x v="2"/>
    <x v="2"/>
  </r>
  <r>
    <x v="0"/>
    <x v="2"/>
    <x v="3"/>
    <x v="3"/>
  </r>
  <r>
    <x v="1"/>
    <x v="3"/>
    <x v="4"/>
    <x v="4"/>
  </r>
  <r>
    <x v="1"/>
    <x v="3"/>
    <x v="5"/>
    <x v="3"/>
  </r>
  <r>
    <x v="1"/>
    <x v="4"/>
    <x v="6"/>
    <x v="5"/>
  </r>
  <r>
    <x v="1"/>
    <x v="5"/>
    <x v="7"/>
    <x v="3"/>
  </r>
  <r>
    <x v="2"/>
    <x v="6"/>
    <x v="8"/>
    <x v="6"/>
  </r>
  <r>
    <x v="2"/>
    <x v="6"/>
    <x v="9"/>
    <x v="7"/>
  </r>
  <r>
    <x v="2"/>
    <x v="7"/>
    <x v="10"/>
    <x v="3"/>
  </r>
  <r>
    <x v="2"/>
    <x v="8"/>
    <x v="11"/>
    <x v="8"/>
  </r>
  <r>
    <x v="3"/>
    <x v="9"/>
    <x v="12"/>
    <x v="9"/>
  </r>
  <r>
    <x v="3"/>
    <x v="9"/>
    <x v="0"/>
    <x v="10"/>
  </r>
  <r>
    <x v="3"/>
    <x v="10"/>
    <x v="13"/>
    <x v="11"/>
  </r>
  <r>
    <x v="3"/>
    <x v="11"/>
    <x v="14"/>
    <x v="12"/>
  </r>
  <r>
    <x v="4"/>
    <x v="12"/>
    <x v="15"/>
    <x v="13"/>
  </r>
  <r>
    <x v="4"/>
    <x v="12"/>
    <x v="16"/>
    <x v="3"/>
  </r>
  <r>
    <x v="4"/>
    <x v="13"/>
    <x v="17"/>
    <x v="14"/>
  </r>
  <r>
    <x v="4"/>
    <x v="14"/>
    <x v="18"/>
    <x v="3"/>
  </r>
  <r>
    <x v="5"/>
    <x v="15"/>
    <x v="19"/>
    <x v="3"/>
  </r>
  <r>
    <x v="5"/>
    <x v="15"/>
    <x v="20"/>
    <x v="15"/>
  </r>
  <r>
    <x v="5"/>
    <x v="16"/>
    <x v="21"/>
    <x v="16"/>
  </r>
  <r>
    <x v="5"/>
    <x v="17"/>
    <x v="22"/>
    <x v="17"/>
  </r>
  <r>
    <x v="6"/>
    <x v="18"/>
    <x v="0"/>
    <x v="18"/>
  </r>
  <r>
    <x v="6"/>
    <x v="18"/>
    <x v="1"/>
    <x v="19"/>
  </r>
  <r>
    <x v="6"/>
    <x v="19"/>
    <x v="23"/>
    <x v="20"/>
  </r>
  <r>
    <x v="6"/>
    <x v="20"/>
    <x v="24"/>
    <x v="21"/>
  </r>
  <r>
    <x v="7"/>
    <x v="21"/>
    <x v="25"/>
    <x v="22"/>
  </r>
  <r>
    <x v="7"/>
    <x v="21"/>
    <x v="26"/>
    <x v="23"/>
  </r>
  <r>
    <x v="7"/>
    <x v="22"/>
    <x v="27"/>
    <x v="24"/>
  </r>
  <r>
    <x v="7"/>
    <x v="23"/>
    <x v="28"/>
    <x v="25"/>
  </r>
  <r>
    <x v="8"/>
    <x v="24"/>
    <x v="0"/>
    <x v="26"/>
  </r>
  <r>
    <x v="8"/>
    <x v="24"/>
    <x v="29"/>
    <x v="27"/>
  </r>
  <r>
    <x v="8"/>
    <x v="25"/>
    <x v="30"/>
    <x v="3"/>
  </r>
  <r>
    <x v="8"/>
    <x v="20"/>
    <x v="31"/>
    <x v="28"/>
  </r>
  <r>
    <x v="9"/>
    <x v="26"/>
    <x v="12"/>
    <x v="29"/>
  </r>
  <r>
    <x v="9"/>
    <x v="26"/>
    <x v="32"/>
    <x v="3"/>
  </r>
  <r>
    <x v="9"/>
    <x v="4"/>
    <x v="33"/>
    <x v="3"/>
  </r>
  <r>
    <x v="9"/>
    <x v="27"/>
    <x v="15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6:G97" firstHeaderRow="0" firstDataRow="1" firstDataCol="3"/>
  <pivotFields count="4">
    <pivotField axis="axisRow" dataField="1" compact="0" numFmtId="18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compact="0" showAll="0">
      <items count="26">
        <item x="16"/>
        <item x="0"/>
        <item x="4"/>
        <item x="8"/>
        <item x="9"/>
        <item x="21"/>
        <item x="6"/>
        <item x="17"/>
        <item x="10"/>
        <item x="3"/>
        <item x="22"/>
        <item x="18"/>
        <item x="2"/>
        <item x="14"/>
        <item x="12"/>
        <item x="11"/>
        <item x="20"/>
        <item x="13"/>
        <item x="1"/>
        <item x="5"/>
        <item x="19"/>
        <item x="23"/>
        <item x="7"/>
        <item x="24"/>
        <item x="15"/>
        <item t="default"/>
      </items>
    </pivotField>
    <pivotField axis="axisRow" dataField="1" compact="0" showAll="0">
      <items count="6">
        <item x="4"/>
        <item x="2"/>
        <item x="0"/>
        <item x="1"/>
        <item x="3"/>
        <item t="default"/>
      </items>
    </pivotField>
    <pivotField dataField="1" compact="0" showAll="0">
      <items count="21">
        <item x="15"/>
        <item x="6"/>
        <item x="11"/>
        <item x="3"/>
        <item x="0"/>
        <item x="8"/>
        <item x="4"/>
        <item x="13"/>
        <item x="2"/>
        <item x="16"/>
        <item x="7"/>
        <item x="19"/>
        <item x="12"/>
        <item x="14"/>
        <item x="9"/>
        <item x="18"/>
        <item x="17"/>
        <item x="5"/>
        <item x="1"/>
        <item x="10"/>
        <item t="default"/>
      </items>
    </pivotField>
  </pivotFields>
  <rowFields count="3">
    <field x="0"/>
    <field x="1"/>
    <field x="2"/>
  </rowFields>
  <rowItems count="91">
    <i>
      <x/>
    </i>
    <i r="1">
      <x v="1"/>
    </i>
    <i r="2">
      <x v="2"/>
    </i>
    <i r="1">
      <x v="9"/>
    </i>
    <i r="2">
      <x v="4"/>
    </i>
    <i r="1">
      <x v="12"/>
    </i>
    <i r="2">
      <x v="1"/>
    </i>
    <i r="1">
      <x v="18"/>
    </i>
    <i r="2">
      <x v="3"/>
    </i>
    <i>
      <x v="1"/>
    </i>
    <i r="1">
      <x v="2"/>
    </i>
    <i r="2">
      <x v="2"/>
    </i>
    <i r="1">
      <x v="6"/>
    </i>
    <i r="2">
      <x v="4"/>
    </i>
    <i r="1">
      <x v="19"/>
    </i>
    <i r="2">
      <x v="3"/>
    </i>
    <i r="1">
      <x v="22"/>
    </i>
    <i r="2">
      <x/>
    </i>
    <i>
      <x v="2"/>
    </i>
    <i r="1">
      <x v="1"/>
    </i>
    <i r="2">
      <x v="2"/>
    </i>
    <i r="1">
      <x v="3"/>
    </i>
    <i r="2">
      <x v="3"/>
    </i>
    <i r="1">
      <x v="4"/>
    </i>
    <i r="2">
      <x v="1"/>
    </i>
    <i r="1">
      <x v="8"/>
    </i>
    <i r="2">
      <x v="4"/>
    </i>
    <i>
      <x v="3"/>
    </i>
    <i r="1">
      <x v="12"/>
    </i>
    <i r="2">
      <x v="1"/>
    </i>
    <i r="1">
      <x v="14"/>
    </i>
    <i r="2">
      <x v="2"/>
    </i>
    <i r="1">
      <x v="15"/>
    </i>
    <i r="2">
      <x v="4"/>
    </i>
    <i r="1">
      <x v="18"/>
    </i>
    <i r="2">
      <x v="3"/>
    </i>
    <i>
      <x v="4"/>
    </i>
    <i r="1">
      <x v="2"/>
    </i>
    <i r="2">
      <x v="2"/>
    </i>
    <i r="1">
      <x v="9"/>
    </i>
    <i r="2">
      <x v="4"/>
    </i>
    <i r="1">
      <x v="17"/>
    </i>
    <i r="2">
      <x v="3"/>
    </i>
    <i r="1">
      <x v="22"/>
    </i>
    <i r="2">
      <x/>
    </i>
    <i>
      <x v="5"/>
    </i>
    <i r="1">
      <x/>
    </i>
    <i r="2">
      <x v="4"/>
    </i>
    <i r="1">
      <x v="7"/>
    </i>
    <i r="2">
      <x/>
    </i>
    <i r="1">
      <x v="13"/>
    </i>
    <i r="2">
      <x v="3"/>
    </i>
    <i r="1">
      <x v="24"/>
    </i>
    <i r="2">
      <x v="1"/>
    </i>
    <i>
      <x v="6"/>
    </i>
    <i r="1">
      <x v="1"/>
    </i>
    <i r="2">
      <x v="2"/>
    </i>
    <i r="1">
      <x v="11"/>
    </i>
    <i r="2">
      <x v="3"/>
    </i>
    <i r="1">
      <x v="12"/>
    </i>
    <i r="2">
      <x v="1"/>
    </i>
    <i r="1">
      <x v="20"/>
    </i>
    <i r="2">
      <x v="4"/>
    </i>
    <i>
      <x v="7"/>
    </i>
    <i r="1">
      <x v="5"/>
    </i>
    <i r="2">
      <x v="1"/>
    </i>
    <i r="1">
      <x v="10"/>
    </i>
    <i r="2">
      <x v="4"/>
    </i>
    <i r="1">
      <x v="14"/>
    </i>
    <i r="2">
      <x v="2"/>
    </i>
    <i r="1">
      <x v="16"/>
    </i>
    <i r="2">
      <x v="3"/>
    </i>
    <i>
      <x v="8"/>
    </i>
    <i r="1">
      <x v="2"/>
    </i>
    <i r="2">
      <x v="2"/>
    </i>
    <i r="1">
      <x v="6"/>
    </i>
    <i r="2">
      <x v="4"/>
    </i>
    <i r="1">
      <x v="21"/>
    </i>
    <i r="2">
      <x v="3"/>
    </i>
    <i r="1">
      <x v="24"/>
    </i>
    <i r="2">
      <x v="1"/>
    </i>
    <i>
      <x v="9"/>
    </i>
    <i r="1">
      <x v="1"/>
    </i>
    <i r="2">
      <x v="2"/>
    </i>
    <i r="1">
      <x v="15"/>
    </i>
    <i r="2">
      <x v="4"/>
    </i>
    <i r="1">
      <x v="22"/>
    </i>
    <i r="2">
      <x/>
    </i>
    <i r="1">
      <x v="23"/>
    </i>
    <i r="2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Date" fld="0" subtotal="count" baseField="0" baseItem="0"/>
    <dataField name="Count of Food Item" fld="1" subtotal="count" baseField="0" baseItem="0"/>
    <dataField name="Sum of Calories" fld="3" baseField="0" baseItem="0"/>
    <dataField name="Count of Category" fld="2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29:R98" firstHeaderRow="1" firstDataRow="2" firstDataCol="3"/>
  <pivotFields count="4">
    <pivotField axis="axisCol" compact="0" numFmtId="18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compact="0" multipleItemSelectionAllowed="1" showAll="0">
      <items count="29">
        <item h="1" x="27"/>
        <item h="1" x="14"/>
        <item x="11"/>
        <item x="2"/>
        <item x="17"/>
        <item x="20"/>
        <item x="23"/>
        <item x="13"/>
        <item x="8"/>
        <item x="5"/>
        <item x="16"/>
        <item x="7"/>
        <item x="19"/>
        <item x="4"/>
        <item x="12"/>
        <item x="22"/>
        <item x="10"/>
        <item x="1"/>
        <item x="25"/>
        <item x="15"/>
        <item x="3"/>
        <item x="6"/>
        <item x="18"/>
        <item x="0"/>
        <item x="26"/>
        <item x="21"/>
        <item x="9"/>
        <item x="24"/>
        <item t="default"/>
      </items>
    </pivotField>
    <pivotField axis="axisRow" compact="0" multipleItemSelectionAllowed="1" showAll="0">
      <items count="35">
        <item x="18"/>
        <item h="1" x="3"/>
        <item x="7"/>
        <item x="10"/>
        <item x="33"/>
        <item h="1" x="16"/>
        <item x="30"/>
        <item x="19"/>
        <item x="20"/>
        <item h="1" x="21"/>
        <item x="22"/>
        <item x="23"/>
        <item x="24"/>
        <item x="25"/>
        <item x="26"/>
        <item x="27"/>
        <item x="28"/>
        <item x="31"/>
        <item x="14"/>
        <item x="5"/>
        <item x="17"/>
        <item x="32"/>
        <item x="13"/>
        <item x="12"/>
        <item x="2"/>
        <item x="4"/>
        <item x="6"/>
        <item x="11"/>
        <item x="8"/>
        <item x="29"/>
        <item x="15"/>
        <item x="1"/>
        <item x="0"/>
        <item x="9"/>
        <item t="default"/>
      </items>
    </pivotField>
    <pivotField axis="axisRow" compact="0" multipleItemSelectionAllowed="1" showAll="0">
      <items count="32">
        <item h="1" x="22"/>
        <item h="1" x="23"/>
        <item h="1" x="3"/>
        <item h="1" x="15"/>
        <item h="1" x="9"/>
        <item x="24"/>
        <item x="27"/>
        <item x="20"/>
        <item x="29"/>
        <item x="11"/>
        <item x="16"/>
        <item x="26"/>
        <item x="4"/>
        <item x="10"/>
        <item x="6"/>
        <item x="2"/>
        <item x="21"/>
        <item x="17"/>
        <item x="25"/>
        <item x="28"/>
        <item x="5"/>
        <item x="14"/>
        <item x="12"/>
        <item x="1"/>
        <item x="19"/>
        <item x="0"/>
        <item x="18"/>
        <item x="13"/>
        <item x="7"/>
        <item x="8"/>
        <item x="30"/>
        <item t="default"/>
      </items>
    </pivotField>
  </pivotFields>
  <rowFields count="3">
    <field x="1"/>
    <field x="3"/>
    <field x="2"/>
  </rowFields>
  <rowItems count="68">
    <i>
      <x v="2"/>
    </i>
    <i r="1">
      <x v="22"/>
    </i>
    <i r="2">
      <x v="18"/>
    </i>
    <i>
      <x v="4"/>
    </i>
    <i r="1">
      <x v="17"/>
    </i>
    <i r="2">
      <x v="10"/>
    </i>
    <i>
      <x v="5"/>
    </i>
    <i r="1">
      <x v="16"/>
    </i>
    <i r="2">
      <x v="12"/>
    </i>
    <i r="1">
      <x v="19"/>
    </i>
    <i r="2">
      <x v="17"/>
    </i>
    <i>
      <x v="6"/>
    </i>
    <i r="1">
      <x v="18"/>
    </i>
    <i r="2">
      <x v="16"/>
    </i>
    <i>
      <x v="7"/>
    </i>
    <i r="1">
      <x v="21"/>
    </i>
    <i r="2">
      <x v="20"/>
    </i>
    <i>
      <x v="8"/>
    </i>
    <i r="1">
      <x v="29"/>
    </i>
    <i r="2">
      <x v="27"/>
    </i>
    <i>
      <x v="12"/>
    </i>
    <i r="1">
      <x v="7"/>
    </i>
    <i r="2">
      <x v="11"/>
    </i>
    <i>
      <x v="13"/>
    </i>
    <i r="1">
      <x v="20"/>
    </i>
    <i r="2">
      <x v="26"/>
    </i>
    <i>
      <x v="14"/>
    </i>
    <i r="1">
      <x v="27"/>
    </i>
    <i r="2">
      <x v="30"/>
    </i>
    <i>
      <x v="15"/>
    </i>
    <i r="1">
      <x v="5"/>
    </i>
    <i r="2">
      <x v="15"/>
    </i>
    <i>
      <x v="16"/>
    </i>
    <i r="1">
      <x v="9"/>
    </i>
    <i r="2">
      <x v="22"/>
    </i>
    <i>
      <x v="17"/>
    </i>
    <i r="1">
      <x v="15"/>
    </i>
    <i r="2">
      <x v="24"/>
    </i>
    <i>
      <x v="20"/>
    </i>
    <i r="1">
      <x v="12"/>
    </i>
    <i r="2">
      <x v="25"/>
    </i>
    <i>
      <x v="21"/>
    </i>
    <i r="1">
      <x v="14"/>
    </i>
    <i r="2">
      <x v="28"/>
    </i>
    <i r="1">
      <x v="28"/>
    </i>
    <i r="2">
      <x v="33"/>
    </i>
    <i>
      <x v="22"/>
    </i>
    <i r="1">
      <x v="24"/>
    </i>
    <i r="2">
      <x v="31"/>
    </i>
    <i r="1">
      <x v="26"/>
    </i>
    <i r="2">
      <x v="32"/>
    </i>
    <i>
      <x v="23"/>
    </i>
    <i r="1">
      <x v="23"/>
    </i>
    <i r="2">
      <x v="31"/>
    </i>
    <i r="1">
      <x v="25"/>
    </i>
    <i r="2">
      <x v="32"/>
    </i>
    <i>
      <x v="24"/>
    </i>
    <i r="1">
      <x v="8"/>
    </i>
    <i r="2">
      <x v="23"/>
    </i>
    <i>
      <x v="26"/>
    </i>
    <i r="1">
      <x v="13"/>
    </i>
    <i r="2">
      <x v="32"/>
    </i>
    <i>
      <x v="27"/>
    </i>
    <i r="1">
      <x v="6"/>
    </i>
    <i r="2">
      <x v="29"/>
    </i>
    <i r="1">
      <x v="11"/>
    </i>
    <i r="2">
      <x v="32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 Calories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zoomScale="85" zoomScaleNormal="85" topLeftCell="A94" workbookViewId="0">
      <selection activeCell="K31" sqref="K31"/>
    </sheetView>
  </sheetViews>
  <sheetFormatPr defaultColWidth="8.88888888888889" defaultRowHeight="14.4"/>
  <cols>
    <col min="1" max="1" width="11.6666666666667"/>
    <col min="2" max="2" width="12.2222222222222"/>
    <col min="3" max="3" width="11.2222222222222"/>
    <col min="4" max="7" width="18.5555555555556"/>
    <col min="8" max="8" width="11.4444444444444"/>
    <col min="9" max="9" width="11.2222222222222"/>
    <col min="10" max="10" width="8.67592592592593"/>
    <col min="11" max="11" width="11.6666666666667"/>
    <col min="12" max="12" width="9.4537037037037"/>
    <col min="13" max="13" width="12.5555555555556"/>
    <col min="14" max="14" width="9.89814814814815"/>
    <col min="15" max="15" width="13"/>
    <col min="16" max="16" width="9.22222222222222"/>
    <col min="17" max="17" width="12.1111111111111"/>
    <col min="18" max="18" width="7.55555555555556"/>
    <col min="19" max="19" width="9"/>
    <col min="20" max="20" width="7.55555555555556"/>
    <col min="21" max="21" width="9.11111111111111"/>
    <col min="22" max="22" width="7.55555555555556"/>
    <col min="23" max="23" width="9.88888888888889"/>
    <col min="24" max="24" width="6.00925925925926"/>
    <col min="25" max="25" width="8.77777777777778"/>
    <col min="26" max="26" width="7.00925925925926"/>
    <col min="27" max="27" width="9.77777777777778"/>
    <col min="28" max="28" width="7.34259259259259"/>
    <col min="29" max="29" width="10.1111111111111"/>
    <col min="30" max="30" width="9.4537037037037"/>
    <col min="31" max="31" width="12.5555555555556"/>
    <col min="32" max="32" width="9.23148148148148"/>
    <col min="33" max="33" width="12.2222222222222"/>
    <col min="34" max="34" width="8.00925925925926"/>
    <col min="35" max="35" width="10.8888888888889"/>
    <col min="36" max="36" width="7.67592592592593"/>
    <col min="37" max="37" width="10.5555555555556"/>
    <col min="38" max="38" width="7.00925925925926"/>
    <col min="39" max="39" width="9.77777777777778"/>
    <col min="40" max="40" width="6.89814814814815"/>
    <col min="41" max="41" width="9.66666666666667"/>
    <col min="42" max="42" width="9.67592592592593"/>
    <col min="43" max="43" width="12.7777777777778"/>
    <col min="44" max="44" width="11.2314814814815"/>
    <col min="45" max="45" width="14.5555555555556"/>
    <col min="46" max="46" width="9.22222222222222"/>
    <col min="47" max="47" width="9.33333333333333"/>
    <col min="48" max="48" width="8.4537037037037"/>
    <col min="49" max="49" width="11.4444444444444"/>
    <col min="50" max="50" width="8.89814814814815"/>
    <col min="51" max="51" width="11.8888888888889"/>
    <col min="52" max="52" width="11.4444444444444"/>
    <col min="53" max="53" width="11.8888888888889"/>
    <col min="54" max="54" width="12"/>
    <col min="55" max="55" width="9.00925925925926"/>
    <col min="56" max="56" width="11"/>
    <col min="57" max="57" width="6.00925925925926"/>
    <col min="58" max="58" width="8.77777777777778"/>
    <col min="59" max="59" width="7.00925925925926"/>
    <col min="60" max="60" width="9.77777777777778"/>
    <col min="61" max="61" width="9.67592592592593"/>
    <col min="62" max="62" width="12.7777777777778"/>
    <col min="63" max="63" width="12"/>
    <col min="64" max="64" width="9.4537037037037"/>
    <col min="65" max="65" width="12.5555555555556"/>
    <col min="66" max="66" width="7.55555555555556"/>
    <col min="67" max="67" width="9.88888888888889"/>
    <col min="68" max="68" width="9.4537037037037"/>
    <col min="69" max="69" width="12.5555555555556"/>
    <col min="70" max="70" width="8.00925925925926"/>
    <col min="71" max="71" width="10.8888888888889"/>
    <col min="72" max="72" width="12"/>
    <col min="73" max="73" width="9.67592592592593"/>
    <col min="74" max="74" width="12.7777777777778"/>
    <col min="75" max="75" width="9.89814814814815"/>
    <col min="76" max="76" width="13"/>
    <col min="77" max="77" width="11.2314814814815"/>
    <col min="78" max="78" width="14.5555555555556"/>
    <col min="79" max="79" width="8.89814814814815"/>
    <col min="80" max="80" width="11.8888888888889"/>
    <col min="81" max="81" width="12"/>
    <col min="82" max="82" width="9.00925925925926"/>
    <col min="83" max="83" width="11"/>
    <col min="84" max="84" width="9.23148148148148"/>
    <col min="85" max="85" width="12.2222222222222"/>
    <col min="86" max="86" width="9.22222222222222"/>
    <col min="87" max="87" width="9.33333333333333"/>
    <col min="88" max="88" width="8.4537037037037"/>
    <col min="89" max="89" width="11.4444444444444"/>
    <col min="90" max="90" width="12"/>
    <col min="91" max="91" width="11.4444444444444"/>
  </cols>
  <sheetData>
    <row r="1" spans="1:11">
      <c r="E1" s="38" t="s">
        <v>0</v>
      </c>
      <c r="F1" s="38"/>
      <c r="G1" s="38"/>
      <c r="H1" s="38"/>
      <c r="I1" s="38"/>
      <c r="J1" s="38"/>
      <c r="K1" s="38"/>
    </row>
    <row r="2" spans="1:11">
      <c r="E2" s="38"/>
      <c r="F2" s="38"/>
      <c r="G2" s="38"/>
      <c r="H2" s="38"/>
      <c r="I2" s="38"/>
      <c r="J2" s="38"/>
      <c r="K2" s="38"/>
    </row>
    <row r="3" spans="1:11">
      <c r="E3" s="38"/>
      <c r="F3" s="38"/>
      <c r="G3" s="38"/>
      <c r="H3" s="38"/>
      <c r="I3" s="38"/>
      <c r="J3" s="38"/>
      <c r="K3" s="38"/>
    </row>
    <row r="6" spans="1:11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</row>
    <row r="7" spans="1:11">
      <c r="A7" s="3">
        <v>46113</v>
      </c>
      <c r="B7"/>
      <c r="C7"/>
      <c r="D7">
        <v>4</v>
      </c>
      <c r="E7">
        <v>4</v>
      </c>
      <c r="F7">
        <v>543</v>
      </c>
      <c r="G7">
        <v>4</v>
      </c>
    </row>
    <row r="8" spans="1:11">
      <c r="B8" t="s">
        <v>8</v>
      </c>
      <c r="C8"/>
      <c r="D8">
        <v>1</v>
      </c>
      <c r="E8">
        <v>1</v>
      </c>
      <c r="F8">
        <v>95</v>
      </c>
      <c r="G8">
        <v>1</v>
      </c>
    </row>
    <row r="9" spans="1:11">
      <c r="C9" t="s">
        <v>9</v>
      </c>
      <c r="D9">
        <v>1</v>
      </c>
      <c r="E9">
        <v>1</v>
      </c>
      <c r="F9">
        <v>95</v>
      </c>
      <c r="G9">
        <v>1</v>
      </c>
    </row>
    <row r="10" spans="1:11">
      <c r="B10" t="s">
        <v>10</v>
      </c>
      <c r="C10"/>
      <c r="D10">
        <v>1</v>
      </c>
      <c r="E10">
        <v>1</v>
      </c>
      <c r="F10">
        <v>78</v>
      </c>
      <c r="G10">
        <v>1</v>
      </c>
    </row>
    <row r="11" spans="1:11">
      <c r="C11" t="s">
        <v>11</v>
      </c>
      <c r="D11">
        <v>1</v>
      </c>
      <c r="E11">
        <v>1</v>
      </c>
      <c r="F11">
        <v>78</v>
      </c>
      <c r="G11">
        <v>1</v>
      </c>
    </row>
    <row r="12" spans="1:11">
      <c r="B12" t="s">
        <v>12</v>
      </c>
      <c r="C12"/>
      <c r="D12">
        <v>1</v>
      </c>
      <c r="E12">
        <v>1</v>
      </c>
      <c r="F12">
        <v>120</v>
      </c>
      <c r="G12">
        <v>1</v>
      </c>
    </row>
    <row r="13" spans="1:11">
      <c r="C13" t="s">
        <v>13</v>
      </c>
      <c r="D13">
        <v>1</v>
      </c>
      <c r="E13">
        <v>1</v>
      </c>
      <c r="F13">
        <v>120</v>
      </c>
      <c r="G13">
        <v>1</v>
      </c>
    </row>
    <row r="14" spans="1:11">
      <c r="B14" t="s">
        <v>14</v>
      </c>
      <c r="C14"/>
      <c r="D14">
        <v>1</v>
      </c>
      <c r="E14">
        <v>1</v>
      </c>
      <c r="F14">
        <v>250</v>
      </c>
      <c r="G14">
        <v>1</v>
      </c>
    </row>
    <row r="15" spans="1:11">
      <c r="C15" t="s">
        <v>15</v>
      </c>
      <c r="D15">
        <v>1</v>
      </c>
      <c r="E15">
        <v>1</v>
      </c>
      <c r="F15">
        <v>250</v>
      </c>
      <c r="G15">
        <v>1</v>
      </c>
    </row>
    <row r="16" spans="1:11">
      <c r="A16" s="3">
        <v>46114</v>
      </c>
      <c r="B16"/>
      <c r="C16"/>
      <c r="D16">
        <v>4</v>
      </c>
      <c r="E16">
        <v>4</v>
      </c>
      <c r="F16">
        <v>515</v>
      </c>
      <c r="G16">
        <v>4</v>
      </c>
    </row>
    <row r="17" spans="1:7">
      <c r="B17" t="s">
        <v>16</v>
      </c>
      <c r="C17"/>
      <c r="D17">
        <v>1</v>
      </c>
      <c r="E17">
        <v>1</v>
      </c>
      <c r="F17">
        <v>105</v>
      </c>
      <c r="G17">
        <v>1</v>
      </c>
    </row>
    <row r="18" spans="1:7">
      <c r="C18" t="s">
        <v>9</v>
      </c>
      <c r="D18">
        <v>1</v>
      </c>
      <c r="E18">
        <v>1</v>
      </c>
      <c r="F18">
        <v>105</v>
      </c>
      <c r="G18">
        <v>1</v>
      </c>
    </row>
    <row r="19" spans="1:7">
      <c r="B19" t="s">
        <v>17</v>
      </c>
      <c r="C19"/>
      <c r="D19">
        <v>1</v>
      </c>
      <c r="E19">
        <v>1</v>
      </c>
      <c r="F19">
        <v>240</v>
      </c>
      <c r="G19">
        <v>1</v>
      </c>
    </row>
    <row r="20" spans="1:7">
      <c r="C20" t="s">
        <v>11</v>
      </c>
      <c r="D20">
        <v>1</v>
      </c>
      <c r="E20">
        <v>1</v>
      </c>
      <c r="F20">
        <v>240</v>
      </c>
      <c r="G20">
        <v>1</v>
      </c>
    </row>
    <row r="21" spans="1:7">
      <c r="B21" t="s">
        <v>18</v>
      </c>
      <c r="D21">
        <v>1</v>
      </c>
      <c r="E21">
        <v>1</v>
      </c>
      <c r="F21">
        <v>120</v>
      </c>
      <c r="G21">
        <v>1</v>
      </c>
    </row>
    <row r="22" spans="1:7">
      <c r="C22" t="s">
        <v>15</v>
      </c>
      <c r="D22">
        <v>1</v>
      </c>
      <c r="E22">
        <v>1</v>
      </c>
      <c r="F22">
        <v>120</v>
      </c>
      <c r="G22">
        <v>1</v>
      </c>
    </row>
    <row r="23" spans="1:7">
      <c r="B23" t="s">
        <v>19</v>
      </c>
      <c r="D23">
        <v>1</v>
      </c>
      <c r="E23">
        <v>1</v>
      </c>
      <c r="F23">
        <v>50</v>
      </c>
      <c r="G23">
        <v>1</v>
      </c>
    </row>
    <row r="24" spans="1:7">
      <c r="C24" t="s">
        <v>20</v>
      </c>
      <c r="D24">
        <v>1</v>
      </c>
      <c r="E24">
        <v>1</v>
      </c>
      <c r="F24">
        <v>50</v>
      </c>
      <c r="G24">
        <v>1</v>
      </c>
    </row>
    <row r="25" spans="1:7">
      <c r="A25" s="3">
        <v>46115</v>
      </c>
      <c r="B25"/>
      <c r="D25">
        <v>4</v>
      </c>
      <c r="E25">
        <v>4</v>
      </c>
      <c r="F25">
        <v>527</v>
      </c>
      <c r="G25">
        <v>4</v>
      </c>
    </row>
    <row r="26" spans="1:7">
      <c r="B26" t="s">
        <v>8</v>
      </c>
      <c r="D26">
        <v>1</v>
      </c>
      <c r="E26">
        <v>1</v>
      </c>
      <c r="F26">
        <v>95</v>
      </c>
      <c r="G26">
        <v>1</v>
      </c>
    </row>
    <row r="27" spans="1:7">
      <c r="C27" t="s">
        <v>9</v>
      </c>
      <c r="D27">
        <v>1</v>
      </c>
      <c r="E27">
        <v>1</v>
      </c>
      <c r="F27">
        <v>95</v>
      </c>
      <c r="G27">
        <v>1</v>
      </c>
    </row>
    <row r="28" spans="1:7">
      <c r="B28" t="s">
        <v>21</v>
      </c>
      <c r="D28">
        <v>1</v>
      </c>
      <c r="E28">
        <v>1</v>
      </c>
      <c r="F28">
        <v>150</v>
      </c>
      <c r="G28">
        <v>1</v>
      </c>
    </row>
    <row r="29" spans="1:7">
      <c r="C29" t="s">
        <v>15</v>
      </c>
      <c r="D29">
        <v>1</v>
      </c>
      <c r="E29">
        <v>1</v>
      </c>
      <c r="F29">
        <v>150</v>
      </c>
      <c r="G29">
        <v>1</v>
      </c>
    </row>
    <row r="30" spans="1:7">
      <c r="B30" t="s">
        <v>22</v>
      </c>
      <c r="D30">
        <v>1</v>
      </c>
      <c r="E30">
        <v>1</v>
      </c>
      <c r="F30">
        <v>102</v>
      </c>
      <c r="G30">
        <v>1</v>
      </c>
    </row>
    <row r="31" spans="1:7">
      <c r="C31" t="s">
        <v>13</v>
      </c>
      <c r="D31">
        <v>1</v>
      </c>
      <c r="E31">
        <v>1</v>
      </c>
      <c r="F31">
        <v>102</v>
      </c>
      <c r="G31">
        <v>1</v>
      </c>
    </row>
    <row r="32" spans="1:7">
      <c r="B32" t="s">
        <v>23</v>
      </c>
      <c r="D32">
        <v>1</v>
      </c>
      <c r="E32">
        <v>1</v>
      </c>
      <c r="F32">
        <v>180</v>
      </c>
      <c r="G32">
        <v>1</v>
      </c>
    </row>
    <row r="33" spans="1:7">
      <c r="C33" t="s">
        <v>11</v>
      </c>
      <c r="D33">
        <v>1</v>
      </c>
      <c r="E33">
        <v>1</v>
      </c>
      <c r="F33">
        <v>180</v>
      </c>
      <c r="G33">
        <v>1</v>
      </c>
    </row>
    <row r="34" spans="1:7">
      <c r="A34" s="3">
        <v>46116</v>
      </c>
      <c r="B34"/>
      <c r="D34">
        <v>4</v>
      </c>
      <c r="E34">
        <v>4</v>
      </c>
      <c r="F34">
        <v>697</v>
      </c>
      <c r="G34">
        <v>4</v>
      </c>
    </row>
    <row r="35" spans="1:7">
      <c r="B35" t="s">
        <v>12</v>
      </c>
      <c r="D35">
        <v>1</v>
      </c>
      <c r="E35">
        <v>1</v>
      </c>
      <c r="F35">
        <v>120</v>
      </c>
      <c r="G35">
        <v>1</v>
      </c>
    </row>
    <row r="36" spans="1:7">
      <c r="C36" t="s">
        <v>13</v>
      </c>
      <c r="D36">
        <v>1</v>
      </c>
      <c r="E36">
        <v>1</v>
      </c>
      <c r="F36">
        <v>120</v>
      </c>
      <c r="G36">
        <v>1</v>
      </c>
    </row>
    <row r="37" spans="1:7">
      <c r="B37" t="s">
        <v>24</v>
      </c>
      <c r="D37">
        <v>1</v>
      </c>
      <c r="E37">
        <v>1</v>
      </c>
      <c r="F37">
        <v>62</v>
      </c>
      <c r="G37">
        <v>1</v>
      </c>
    </row>
    <row r="38" spans="1:7">
      <c r="C38" t="s">
        <v>9</v>
      </c>
      <c r="D38">
        <v>1</v>
      </c>
      <c r="E38">
        <v>1</v>
      </c>
      <c r="F38">
        <v>62</v>
      </c>
      <c r="G38">
        <v>1</v>
      </c>
    </row>
    <row r="39" spans="1:7">
      <c r="B39" t="s">
        <v>25</v>
      </c>
      <c r="D39">
        <v>1</v>
      </c>
      <c r="E39">
        <v>1</v>
      </c>
      <c r="F39">
        <v>265</v>
      </c>
      <c r="G39">
        <v>1</v>
      </c>
    </row>
    <row r="40" spans="1:7">
      <c r="C40" t="s">
        <v>11</v>
      </c>
      <c r="D40">
        <v>1</v>
      </c>
      <c r="E40">
        <v>1</v>
      </c>
      <c r="F40">
        <v>265</v>
      </c>
      <c r="G40">
        <v>1</v>
      </c>
    </row>
    <row r="41" spans="1:7">
      <c r="B41" t="s">
        <v>14</v>
      </c>
      <c r="D41">
        <v>1</v>
      </c>
      <c r="E41">
        <v>1</v>
      </c>
      <c r="F41">
        <v>250</v>
      </c>
      <c r="G41">
        <v>1</v>
      </c>
    </row>
    <row r="42" spans="1:7">
      <c r="C42" t="s">
        <v>15</v>
      </c>
      <c r="D42">
        <v>1</v>
      </c>
      <c r="E42">
        <v>1</v>
      </c>
      <c r="F42">
        <v>250</v>
      </c>
      <c r="G42">
        <v>1</v>
      </c>
    </row>
    <row r="43" spans="1:7">
      <c r="A43" s="3">
        <v>46117</v>
      </c>
      <c r="D43">
        <v>4</v>
      </c>
      <c r="E43">
        <v>4</v>
      </c>
      <c r="F43">
        <v>413</v>
      </c>
      <c r="G43">
        <v>4</v>
      </c>
    </row>
    <row r="44" spans="1:7">
      <c r="B44" t="s">
        <v>16</v>
      </c>
      <c r="D44">
        <v>1</v>
      </c>
      <c r="E44">
        <v>1</v>
      </c>
      <c r="F44">
        <v>105</v>
      </c>
      <c r="G44">
        <v>1</v>
      </c>
    </row>
    <row r="45" spans="1:7">
      <c r="C45" t="s">
        <v>9</v>
      </c>
      <c r="D45">
        <v>1</v>
      </c>
      <c r="E45">
        <v>1</v>
      </c>
      <c r="F45">
        <v>105</v>
      </c>
      <c r="G45">
        <v>1</v>
      </c>
    </row>
    <row r="46" spans="1:7">
      <c r="B46" t="s">
        <v>10</v>
      </c>
      <c r="D46">
        <v>1</v>
      </c>
      <c r="E46">
        <v>1</v>
      </c>
      <c r="F46">
        <v>78</v>
      </c>
      <c r="G46">
        <v>1</v>
      </c>
    </row>
    <row r="47" spans="1:7">
      <c r="C47" t="s">
        <v>11</v>
      </c>
      <c r="D47">
        <v>1</v>
      </c>
      <c r="E47">
        <v>1</v>
      </c>
      <c r="F47">
        <v>78</v>
      </c>
      <c r="G47">
        <v>1</v>
      </c>
    </row>
    <row r="48" spans="1:7">
      <c r="B48" t="s">
        <v>26</v>
      </c>
      <c r="D48">
        <v>1</v>
      </c>
      <c r="E48">
        <v>1</v>
      </c>
      <c r="F48">
        <v>180</v>
      </c>
      <c r="G48">
        <v>1</v>
      </c>
    </row>
    <row r="49" spans="1:7">
      <c r="C49" t="s">
        <v>15</v>
      </c>
      <c r="D49">
        <v>1</v>
      </c>
      <c r="E49">
        <v>1</v>
      </c>
      <c r="F49">
        <v>180</v>
      </c>
      <c r="G49">
        <v>1</v>
      </c>
    </row>
    <row r="50" spans="1:7">
      <c r="B50" t="s">
        <v>19</v>
      </c>
      <c r="D50">
        <v>1</v>
      </c>
      <c r="E50">
        <v>1</v>
      </c>
      <c r="F50">
        <v>50</v>
      </c>
      <c r="G50">
        <v>1</v>
      </c>
    </row>
    <row r="51" spans="1:7">
      <c r="C51" t="s">
        <v>20</v>
      </c>
      <c r="D51">
        <v>1</v>
      </c>
      <c r="E51">
        <v>1</v>
      </c>
      <c r="F51">
        <v>50</v>
      </c>
      <c r="G51">
        <v>1</v>
      </c>
    </row>
    <row r="52" spans="1:7">
      <c r="A52" s="3">
        <v>46118</v>
      </c>
      <c r="B52"/>
      <c r="D52">
        <v>4</v>
      </c>
      <c r="E52">
        <v>4</v>
      </c>
      <c r="F52">
        <v>480</v>
      </c>
      <c r="G52">
        <v>4</v>
      </c>
    </row>
    <row r="53" spans="1:7">
      <c r="B53" t="s">
        <v>27</v>
      </c>
      <c r="D53">
        <v>1</v>
      </c>
      <c r="E53">
        <v>1</v>
      </c>
      <c r="F53">
        <v>170</v>
      </c>
      <c r="G53">
        <v>1</v>
      </c>
    </row>
    <row r="54" spans="1:7">
      <c r="C54" t="s">
        <v>11</v>
      </c>
      <c r="D54">
        <v>1</v>
      </c>
      <c r="E54">
        <v>1</v>
      </c>
      <c r="F54">
        <v>170</v>
      </c>
      <c r="G54">
        <v>1</v>
      </c>
    </row>
    <row r="55" spans="1:7">
      <c r="B55" t="s">
        <v>28</v>
      </c>
      <c r="D55">
        <v>1</v>
      </c>
      <c r="E55">
        <v>1</v>
      </c>
      <c r="F55">
        <v>40</v>
      </c>
      <c r="G55">
        <v>1</v>
      </c>
    </row>
    <row r="56" spans="1:7">
      <c r="C56" t="s">
        <v>20</v>
      </c>
      <c r="D56">
        <v>1</v>
      </c>
      <c r="E56">
        <v>1</v>
      </c>
      <c r="F56">
        <v>40</v>
      </c>
      <c r="G56">
        <v>1</v>
      </c>
    </row>
    <row r="57" spans="1:7">
      <c r="B57" t="s">
        <v>29</v>
      </c>
      <c r="D57">
        <v>1</v>
      </c>
      <c r="E57">
        <v>1</v>
      </c>
      <c r="F57">
        <v>160</v>
      </c>
      <c r="G57">
        <v>1</v>
      </c>
    </row>
    <row r="58" spans="1:7">
      <c r="C58" t="s">
        <v>15</v>
      </c>
      <c r="D58">
        <v>1</v>
      </c>
      <c r="E58">
        <v>1</v>
      </c>
      <c r="F58">
        <v>160</v>
      </c>
      <c r="G58">
        <v>1</v>
      </c>
    </row>
    <row r="59" spans="1:7">
      <c r="B59" t="s">
        <v>30</v>
      </c>
      <c r="D59">
        <v>1</v>
      </c>
      <c r="E59">
        <v>1</v>
      </c>
      <c r="F59">
        <v>110</v>
      </c>
      <c r="G59">
        <v>1</v>
      </c>
    </row>
    <row r="60" spans="1:7">
      <c r="C60" t="s">
        <v>13</v>
      </c>
      <c r="D60">
        <v>1</v>
      </c>
      <c r="E60">
        <v>1</v>
      </c>
      <c r="F60">
        <v>110</v>
      </c>
      <c r="G60">
        <v>1</v>
      </c>
    </row>
    <row r="61" spans="1:7">
      <c r="A61" s="3">
        <v>46119</v>
      </c>
      <c r="D61">
        <v>4</v>
      </c>
      <c r="E61">
        <v>4</v>
      </c>
      <c r="F61">
        <v>535</v>
      </c>
      <c r="G61">
        <v>4</v>
      </c>
    </row>
    <row r="62" spans="1:7">
      <c r="B62" t="s">
        <v>8</v>
      </c>
      <c r="D62">
        <v>1</v>
      </c>
      <c r="E62">
        <v>1</v>
      </c>
      <c r="F62">
        <v>95</v>
      </c>
      <c r="G62">
        <v>1</v>
      </c>
    </row>
    <row r="63" spans="1:7">
      <c r="C63" t="s">
        <v>9</v>
      </c>
      <c r="D63">
        <v>1</v>
      </c>
      <c r="E63">
        <v>1</v>
      </c>
      <c r="F63">
        <v>95</v>
      </c>
      <c r="G63">
        <v>1</v>
      </c>
    </row>
    <row r="64" spans="1:7">
      <c r="B64" t="s">
        <v>31</v>
      </c>
      <c r="D64">
        <v>1</v>
      </c>
      <c r="E64">
        <v>1</v>
      </c>
      <c r="F64">
        <v>140</v>
      </c>
      <c r="G64">
        <v>1</v>
      </c>
    </row>
    <row r="65" spans="1:7">
      <c r="C65" t="s">
        <v>15</v>
      </c>
      <c r="D65">
        <v>1</v>
      </c>
      <c r="E65">
        <v>1</v>
      </c>
      <c r="F65">
        <v>140</v>
      </c>
      <c r="G65">
        <v>1</v>
      </c>
    </row>
    <row r="66" spans="1:7">
      <c r="B66" t="s">
        <v>12</v>
      </c>
      <c r="D66">
        <v>1</v>
      </c>
      <c r="E66">
        <v>1</v>
      </c>
      <c r="F66">
        <v>120</v>
      </c>
      <c r="G66">
        <v>1</v>
      </c>
    </row>
    <row r="67" spans="1:7">
      <c r="C67" t="s">
        <v>13</v>
      </c>
      <c r="D67">
        <v>1</v>
      </c>
      <c r="E67">
        <v>1</v>
      </c>
      <c r="F67">
        <v>120</v>
      </c>
      <c r="G67">
        <v>1</v>
      </c>
    </row>
    <row r="68" spans="1:7">
      <c r="B68" t="s">
        <v>32</v>
      </c>
      <c r="D68">
        <v>1</v>
      </c>
      <c r="E68">
        <v>1</v>
      </c>
      <c r="F68">
        <v>180</v>
      </c>
      <c r="G68">
        <v>1</v>
      </c>
    </row>
    <row r="69" spans="1:7">
      <c r="C69" t="s">
        <v>11</v>
      </c>
      <c r="D69">
        <v>1</v>
      </c>
      <c r="E69">
        <v>1</v>
      </c>
      <c r="F69">
        <v>180</v>
      </c>
      <c r="G69">
        <v>1</v>
      </c>
    </row>
    <row r="70" spans="1:7">
      <c r="A70" s="3">
        <v>46120</v>
      </c>
      <c r="D70">
        <v>4</v>
      </c>
      <c r="E70">
        <v>4</v>
      </c>
      <c r="F70">
        <v>637</v>
      </c>
      <c r="G70">
        <v>4</v>
      </c>
    </row>
    <row r="71" spans="1:7">
      <c r="B71" t="s">
        <v>33</v>
      </c>
      <c r="D71">
        <v>1</v>
      </c>
      <c r="E71">
        <v>1</v>
      </c>
      <c r="F71">
        <v>200</v>
      </c>
      <c r="G71">
        <v>1</v>
      </c>
    </row>
    <row r="72" spans="1:7">
      <c r="C72" t="s">
        <v>13</v>
      </c>
      <c r="D72">
        <v>1</v>
      </c>
      <c r="E72">
        <v>1</v>
      </c>
      <c r="F72">
        <v>200</v>
      </c>
      <c r="G72">
        <v>1</v>
      </c>
    </row>
    <row r="73" spans="1:7">
      <c r="B73" t="s">
        <v>34</v>
      </c>
      <c r="D73">
        <v>1</v>
      </c>
      <c r="E73">
        <v>1</v>
      </c>
      <c r="F73">
        <v>155</v>
      </c>
      <c r="G73">
        <v>1</v>
      </c>
    </row>
    <row r="74" spans="1:7">
      <c r="C74" t="s">
        <v>11</v>
      </c>
      <c r="D74">
        <v>1</v>
      </c>
      <c r="E74">
        <v>1</v>
      </c>
      <c r="F74">
        <v>155</v>
      </c>
      <c r="G74">
        <v>1</v>
      </c>
    </row>
    <row r="75" spans="1:7">
      <c r="B75" t="s">
        <v>24</v>
      </c>
      <c r="D75">
        <v>1</v>
      </c>
      <c r="E75">
        <v>1</v>
      </c>
      <c r="F75">
        <v>62</v>
      </c>
      <c r="G75">
        <v>1</v>
      </c>
    </row>
    <row r="76" spans="1:7">
      <c r="C76" t="s">
        <v>9</v>
      </c>
      <c r="D76">
        <v>1</v>
      </c>
      <c r="E76">
        <v>1</v>
      </c>
      <c r="F76">
        <v>62</v>
      </c>
      <c r="G76">
        <v>1</v>
      </c>
    </row>
    <row r="77" spans="1:7">
      <c r="B77" t="s">
        <v>35</v>
      </c>
      <c r="D77">
        <v>1</v>
      </c>
      <c r="E77">
        <v>1</v>
      </c>
      <c r="F77">
        <v>220</v>
      </c>
      <c r="G77">
        <v>1</v>
      </c>
    </row>
    <row r="78" spans="1:7">
      <c r="C78" t="s">
        <v>15</v>
      </c>
      <c r="D78">
        <v>1</v>
      </c>
      <c r="E78">
        <v>1</v>
      </c>
      <c r="F78">
        <v>220</v>
      </c>
      <c r="G78">
        <v>1</v>
      </c>
    </row>
    <row r="79" spans="1:7">
      <c r="A79" s="3">
        <v>46121</v>
      </c>
      <c r="D79">
        <v>4</v>
      </c>
      <c r="E79">
        <v>4</v>
      </c>
      <c r="F79">
        <v>705</v>
      </c>
      <c r="G79">
        <v>4</v>
      </c>
    </row>
    <row r="80" spans="1:7">
      <c r="B80" t="s">
        <v>16</v>
      </c>
      <c r="D80">
        <v>1</v>
      </c>
      <c r="E80">
        <v>1</v>
      </c>
      <c r="F80">
        <v>105</v>
      </c>
      <c r="G80">
        <v>1</v>
      </c>
    </row>
    <row r="81" spans="1:7">
      <c r="C81" t="s">
        <v>9</v>
      </c>
      <c r="D81">
        <v>1</v>
      </c>
      <c r="E81">
        <v>1</v>
      </c>
      <c r="F81">
        <v>105</v>
      </c>
      <c r="G81">
        <v>1</v>
      </c>
    </row>
    <row r="82" spans="1:7">
      <c r="B82" t="s">
        <v>17</v>
      </c>
      <c r="D82">
        <v>1</v>
      </c>
      <c r="E82">
        <v>1</v>
      </c>
      <c r="F82">
        <v>240</v>
      </c>
      <c r="G82">
        <v>1</v>
      </c>
    </row>
    <row r="83" spans="1:7">
      <c r="C83" t="s">
        <v>11</v>
      </c>
      <c r="D83">
        <v>1</v>
      </c>
      <c r="E83">
        <v>1</v>
      </c>
      <c r="F83">
        <v>240</v>
      </c>
      <c r="G83">
        <v>1</v>
      </c>
    </row>
    <row r="84" spans="1:7">
      <c r="B84" t="s">
        <v>36</v>
      </c>
      <c r="D84">
        <v>1</v>
      </c>
      <c r="E84">
        <v>1</v>
      </c>
      <c r="F84">
        <v>250</v>
      </c>
      <c r="G84">
        <v>1</v>
      </c>
    </row>
    <row r="85" spans="1:7">
      <c r="C85" t="s">
        <v>15</v>
      </c>
      <c r="D85">
        <v>1</v>
      </c>
      <c r="E85">
        <v>1</v>
      </c>
      <c r="F85">
        <v>250</v>
      </c>
      <c r="G85">
        <v>1</v>
      </c>
    </row>
    <row r="86" spans="1:7">
      <c r="B86" t="s">
        <v>30</v>
      </c>
      <c r="D86">
        <v>1</v>
      </c>
      <c r="E86">
        <v>1</v>
      </c>
      <c r="F86">
        <v>110</v>
      </c>
      <c r="G86">
        <v>1</v>
      </c>
    </row>
    <row r="87" spans="1:7">
      <c r="C87" t="s">
        <v>13</v>
      </c>
      <c r="D87">
        <v>1</v>
      </c>
      <c r="E87">
        <v>1</v>
      </c>
      <c r="F87">
        <v>110</v>
      </c>
      <c r="G87">
        <v>1</v>
      </c>
    </row>
    <row r="88" spans="1:7">
      <c r="A88" s="3">
        <v>46122</v>
      </c>
      <c r="D88">
        <v>4</v>
      </c>
      <c r="E88">
        <v>4</v>
      </c>
      <c r="F88">
        <v>590</v>
      </c>
      <c r="G88">
        <v>4</v>
      </c>
    </row>
    <row r="89" spans="1:7">
      <c r="B89" t="s">
        <v>8</v>
      </c>
      <c r="D89">
        <v>1</v>
      </c>
      <c r="E89">
        <v>1</v>
      </c>
      <c r="F89">
        <v>95</v>
      </c>
      <c r="G89">
        <v>1</v>
      </c>
    </row>
    <row r="90" spans="1:7">
      <c r="C90" t="s">
        <v>9</v>
      </c>
      <c r="D90">
        <v>1</v>
      </c>
      <c r="E90">
        <v>1</v>
      </c>
      <c r="F90">
        <v>95</v>
      </c>
      <c r="G90">
        <v>1</v>
      </c>
    </row>
    <row r="91" spans="1:7">
      <c r="B91" t="s">
        <v>25</v>
      </c>
      <c r="D91">
        <v>1</v>
      </c>
      <c r="E91">
        <v>1</v>
      </c>
      <c r="F91">
        <v>265</v>
      </c>
      <c r="G91">
        <v>1</v>
      </c>
    </row>
    <row r="92" spans="1:7">
      <c r="C92" t="s">
        <v>11</v>
      </c>
      <c r="D92">
        <v>1</v>
      </c>
      <c r="E92">
        <v>1</v>
      </c>
      <c r="F92">
        <v>265</v>
      </c>
      <c r="G92">
        <v>1</v>
      </c>
    </row>
    <row r="93" spans="1:7">
      <c r="B93" t="s">
        <v>19</v>
      </c>
      <c r="D93">
        <v>1</v>
      </c>
      <c r="E93">
        <v>1</v>
      </c>
      <c r="F93">
        <v>50</v>
      </c>
      <c r="G93">
        <v>1</v>
      </c>
    </row>
    <row r="94" spans="1:7">
      <c r="C94" t="s">
        <v>20</v>
      </c>
      <c r="D94">
        <v>1</v>
      </c>
      <c r="E94">
        <v>1</v>
      </c>
      <c r="F94">
        <v>50</v>
      </c>
      <c r="G94">
        <v>1</v>
      </c>
    </row>
    <row r="95" spans="1:7">
      <c r="B95" t="s">
        <v>37</v>
      </c>
      <c r="D95">
        <v>1</v>
      </c>
      <c r="E95">
        <v>1</v>
      </c>
      <c r="F95">
        <v>180</v>
      </c>
      <c r="G95">
        <v>1</v>
      </c>
    </row>
    <row r="96" spans="1:7">
      <c r="C96" t="s">
        <v>15</v>
      </c>
      <c r="D96">
        <v>1</v>
      </c>
      <c r="E96">
        <v>1</v>
      </c>
      <c r="F96">
        <v>180</v>
      </c>
      <c r="G96">
        <v>1</v>
      </c>
    </row>
    <row r="97" spans="1:7">
      <c r="A97" t="s">
        <v>38</v>
      </c>
      <c r="D97">
        <v>40</v>
      </c>
      <c r="E97">
        <v>40</v>
      </c>
      <c r="F97">
        <v>5642</v>
      </c>
      <c r="G97">
        <v>40</v>
      </c>
    </row>
  </sheetData>
  <mergeCells count="1">
    <mergeCell ref="E1:K3"/>
  </mergeCells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3"/>
  <sheetViews>
    <sheetView zoomScale="40" zoomScaleNormal="40" topLeftCell="A3" workbookViewId="0">
      <selection activeCell="U11" sqref="U11"/>
    </sheetView>
  </sheetViews>
  <sheetFormatPr defaultColWidth="8.88888888888889" defaultRowHeight="14.4"/>
  <cols>
    <col min="1" max="1" width="10" customWidth="1"/>
    <col min="2" max="2" width="19.4444444444444" customWidth="1"/>
    <col min="3" max="3" width="19.7777777777778" customWidth="1"/>
    <col min="4" max="4" width="19.2222222222222" customWidth="1"/>
    <col min="5" max="5" width="22.4444444444444" customWidth="1"/>
    <col min="6" max="6" width="11.5555555555556" customWidth="1"/>
    <col min="7" max="7" width="12.2222222222222" customWidth="1"/>
    <col min="8" max="8" width="13" customWidth="1"/>
    <col min="9" max="9" width="18.8888888888889" customWidth="1"/>
    <col min="10" max="10" width="15.6666666666667" customWidth="1"/>
    <col min="11" max="11" width="18.2222222222222" customWidth="1"/>
    <col min="12" max="12" width="12.3333333333333" customWidth="1"/>
    <col min="13" max="13" width="15.8148148148148" customWidth="1"/>
    <col min="14" max="14" width="21.0462962962963" customWidth="1"/>
  </cols>
  <sheetData>
    <row r="1" ht="37" customHeight="1" spans="2:14">
      <c r="B1" s="4" t="s">
        <v>39</v>
      </c>
      <c r="C1" s="5"/>
      <c r="D1" s="5"/>
      <c r="E1" s="6"/>
      <c r="H1" s="7" t="s">
        <v>40</v>
      </c>
      <c r="I1" s="8"/>
      <c r="J1" s="8"/>
      <c r="K1" s="9"/>
      <c r="L1" s="10"/>
      <c r="M1" s="10"/>
    </row>
    <row r="2" ht="47" customHeight="1" spans="2:14">
      <c r="B2" s="11" t="s">
        <v>1</v>
      </c>
      <c r="C2" s="12" t="s">
        <v>2</v>
      </c>
      <c r="D2" s="12" t="s">
        <v>3</v>
      </c>
      <c r="E2" s="13" t="s">
        <v>41</v>
      </c>
      <c r="H2" s="14" t="s">
        <v>1</v>
      </c>
      <c r="I2" s="15" t="s">
        <v>42</v>
      </c>
      <c r="J2" s="15" t="s">
        <v>43</v>
      </c>
      <c r="K2" s="16" t="s">
        <v>44</v>
      </c>
      <c r="M2" s="17" t="s">
        <v>45</v>
      </c>
      <c r="N2" s="17" t="s">
        <v>46</v>
      </c>
    </row>
    <row r="3" ht="28" customHeight="1" spans="2:14">
      <c r="B3" s="18">
        <v>46113</v>
      </c>
      <c r="C3" s="19" t="s">
        <v>8</v>
      </c>
      <c r="D3" s="19" t="s">
        <v>9</v>
      </c>
      <c r="E3" s="20">
        <v>95</v>
      </c>
      <c r="H3" s="21">
        <v>46113</v>
      </c>
      <c r="I3" s="22">
        <f>SUMIF(B2:B22,B3,E2:E22)</f>
        <v>543</v>
      </c>
      <c r="J3" s="22">
        <v>900</v>
      </c>
      <c r="K3" s="23">
        <f>J3-I3</f>
        <v>357</v>
      </c>
      <c r="M3" s="24">
        <f>MAX(I:I)</f>
        <v>705</v>
      </c>
      <c r="N3" s="24" t="str">
        <f>IF(J3&gt;I3,"🔴 Over","🟢 OK")</f>
        <v>🔴 Over</v>
      </c>
    </row>
    <row r="4" ht="24" customHeight="1" spans="2:14">
      <c r="B4" s="25">
        <v>46113</v>
      </c>
      <c r="C4" s="26" t="s">
        <v>14</v>
      </c>
      <c r="D4" s="26" t="s">
        <v>15</v>
      </c>
      <c r="E4" s="27">
        <v>250</v>
      </c>
      <c r="H4" s="21">
        <v>46113</v>
      </c>
      <c r="I4" s="22">
        <f t="shared" ref="I4:I23" si="0">SUMIF(B3:B22,B4,E3:E22)</f>
        <v>543</v>
      </c>
      <c r="J4" s="22">
        <v>890</v>
      </c>
      <c r="K4" s="23">
        <f t="shared" ref="K4:K41" si="1">J4-I4</f>
        <v>347</v>
      </c>
      <c r="M4" s="24">
        <f t="shared" ref="M4:M22" si="2">MAX(I:I)</f>
        <v>705</v>
      </c>
      <c r="N4" s="24" t="str">
        <f>IF(J3&gt;I3,"🔴 Over","🟢 OK")</f>
        <v>🔴 Over</v>
      </c>
    </row>
    <row r="5" ht="22" customHeight="1" spans="2:14">
      <c r="B5" s="25">
        <v>46113</v>
      </c>
      <c r="C5" s="26" t="s">
        <v>12</v>
      </c>
      <c r="D5" s="26" t="s">
        <v>13</v>
      </c>
      <c r="E5" s="27">
        <v>120</v>
      </c>
      <c r="H5" s="21">
        <v>46113</v>
      </c>
      <c r="I5" s="22">
        <f t="shared" si="0"/>
        <v>448</v>
      </c>
      <c r="J5" s="22">
        <v>709</v>
      </c>
      <c r="K5" s="23">
        <f t="shared" si="1"/>
        <v>261</v>
      </c>
      <c r="M5" s="24">
        <f t="shared" si="2"/>
        <v>705</v>
      </c>
      <c r="N5" s="24" t="str">
        <f t="shared" ref="N4:N42" si="3">IF(J4&gt;I4,"🔴 Over","🟢 OK")</f>
        <v>🔴 Over</v>
      </c>
    </row>
    <row r="6" ht="24" customHeight="1" spans="2:14">
      <c r="B6" s="25">
        <v>46113</v>
      </c>
      <c r="C6" s="26" t="s">
        <v>10</v>
      </c>
      <c r="D6" s="26" t="s">
        <v>11</v>
      </c>
      <c r="E6" s="27">
        <v>78</v>
      </c>
      <c r="H6" s="21">
        <v>46113</v>
      </c>
      <c r="I6" s="22">
        <f t="shared" si="0"/>
        <v>198</v>
      </c>
      <c r="J6" s="22">
        <v>198</v>
      </c>
      <c r="K6" s="23">
        <f t="shared" si="1"/>
        <v>0</v>
      </c>
      <c r="M6" s="24">
        <f t="shared" si="2"/>
        <v>705</v>
      </c>
      <c r="N6" s="24" t="str">
        <f t="shared" si="3"/>
        <v>🔴 Over</v>
      </c>
    </row>
    <row r="7" ht="23" customHeight="1" spans="2:14">
      <c r="B7" s="25">
        <v>46114</v>
      </c>
      <c r="C7" s="26" t="s">
        <v>16</v>
      </c>
      <c r="D7" s="26" t="s">
        <v>9</v>
      </c>
      <c r="E7" s="27">
        <v>105</v>
      </c>
      <c r="H7" s="21">
        <v>46114</v>
      </c>
      <c r="I7" s="22">
        <f t="shared" si="0"/>
        <v>515</v>
      </c>
      <c r="J7" s="22">
        <v>711</v>
      </c>
      <c r="K7" s="23">
        <f t="shared" si="1"/>
        <v>196</v>
      </c>
      <c r="M7" s="24">
        <f t="shared" si="2"/>
        <v>705</v>
      </c>
      <c r="N7" s="24" t="str">
        <f t="shared" si="3"/>
        <v>🟢 OK</v>
      </c>
    </row>
    <row r="8" ht="24" customHeight="1" spans="2:14">
      <c r="B8" s="25">
        <v>46114</v>
      </c>
      <c r="C8" s="26" t="s">
        <v>18</v>
      </c>
      <c r="D8" s="26" t="s">
        <v>15</v>
      </c>
      <c r="E8" s="27">
        <v>120</v>
      </c>
      <c r="H8" s="21">
        <v>46114</v>
      </c>
      <c r="I8" s="22">
        <f t="shared" si="0"/>
        <v>515</v>
      </c>
      <c r="J8" s="22">
        <v>515</v>
      </c>
      <c r="K8" s="23">
        <f t="shared" si="1"/>
        <v>0</v>
      </c>
      <c r="M8" s="24">
        <f t="shared" si="2"/>
        <v>705</v>
      </c>
      <c r="N8" s="24" t="str">
        <f t="shared" si="3"/>
        <v>🔴 Over</v>
      </c>
    </row>
    <row r="9" ht="28" customHeight="1" spans="2:14">
      <c r="B9" s="25">
        <v>46114</v>
      </c>
      <c r="C9" s="26" t="s">
        <v>17</v>
      </c>
      <c r="D9" s="26" t="s">
        <v>11</v>
      </c>
      <c r="E9" s="27">
        <v>240</v>
      </c>
      <c r="H9" s="21">
        <v>46114</v>
      </c>
      <c r="I9" s="22">
        <f t="shared" si="0"/>
        <v>410</v>
      </c>
      <c r="J9" s="22">
        <v>713</v>
      </c>
      <c r="K9" s="23">
        <f t="shared" si="1"/>
        <v>303</v>
      </c>
      <c r="M9" s="24">
        <f t="shared" si="2"/>
        <v>705</v>
      </c>
      <c r="N9" s="24" t="str">
        <f t="shared" si="3"/>
        <v>🟢 OK</v>
      </c>
    </row>
    <row r="10" ht="30" customHeight="1" spans="2:14">
      <c r="B10" s="25">
        <v>46114</v>
      </c>
      <c r="C10" s="26" t="s">
        <v>19</v>
      </c>
      <c r="D10" s="26" t="s">
        <v>20</v>
      </c>
      <c r="E10" s="27">
        <v>50</v>
      </c>
      <c r="H10" s="21">
        <v>46114</v>
      </c>
      <c r="I10" s="22">
        <f t="shared" si="0"/>
        <v>290</v>
      </c>
      <c r="J10" s="22">
        <v>290</v>
      </c>
      <c r="K10" s="23">
        <f t="shared" si="1"/>
        <v>0</v>
      </c>
      <c r="M10" s="24">
        <f t="shared" si="2"/>
        <v>705</v>
      </c>
      <c r="N10" s="24" t="str">
        <f t="shared" si="3"/>
        <v>🔴 Over</v>
      </c>
    </row>
    <row r="11" ht="27" customHeight="1" spans="2:14">
      <c r="B11" s="25">
        <v>46115</v>
      </c>
      <c r="C11" s="26" t="s">
        <v>21</v>
      </c>
      <c r="D11" s="26" t="s">
        <v>15</v>
      </c>
      <c r="E11" s="27">
        <v>150</v>
      </c>
      <c r="H11" s="21">
        <v>46115</v>
      </c>
      <c r="I11" s="22">
        <f t="shared" si="0"/>
        <v>527</v>
      </c>
      <c r="J11" s="22">
        <v>780</v>
      </c>
      <c r="K11" s="23">
        <f t="shared" si="1"/>
        <v>253</v>
      </c>
      <c r="M11" s="24">
        <f t="shared" si="2"/>
        <v>705</v>
      </c>
      <c r="N11" s="24" t="str">
        <f t="shared" si="3"/>
        <v>🟢 OK</v>
      </c>
    </row>
    <row r="12" ht="24" customHeight="1" spans="2:14">
      <c r="B12" s="25">
        <v>46115</v>
      </c>
      <c r="C12" s="26" t="s">
        <v>22</v>
      </c>
      <c r="D12" s="26" t="s">
        <v>13</v>
      </c>
      <c r="E12" s="27">
        <v>102</v>
      </c>
      <c r="H12" s="21">
        <v>46115</v>
      </c>
      <c r="I12" s="22">
        <f t="shared" si="0"/>
        <v>527</v>
      </c>
      <c r="J12" s="22">
        <v>980</v>
      </c>
      <c r="K12" s="23">
        <f t="shared" si="1"/>
        <v>453</v>
      </c>
      <c r="M12" s="24">
        <f t="shared" si="2"/>
        <v>705</v>
      </c>
      <c r="N12" s="24" t="str">
        <f t="shared" si="3"/>
        <v>🔴 Over</v>
      </c>
    </row>
    <row r="13" ht="21" customHeight="1" spans="2:14">
      <c r="B13" s="25">
        <v>46115</v>
      </c>
      <c r="C13" s="26" t="s">
        <v>23</v>
      </c>
      <c r="D13" s="26" t="s">
        <v>11</v>
      </c>
      <c r="E13" s="27">
        <v>180</v>
      </c>
      <c r="H13" s="21">
        <v>46115</v>
      </c>
      <c r="I13" s="22">
        <f t="shared" si="0"/>
        <v>377</v>
      </c>
      <c r="J13" s="22">
        <v>377</v>
      </c>
      <c r="K13" s="23">
        <f t="shared" si="1"/>
        <v>0</v>
      </c>
      <c r="M13" s="24">
        <f t="shared" si="2"/>
        <v>705</v>
      </c>
      <c r="N13" s="24" t="str">
        <f t="shared" si="3"/>
        <v>🔴 Over</v>
      </c>
    </row>
    <row r="14" ht="21" customHeight="1" spans="2:14">
      <c r="B14" s="25">
        <v>46115</v>
      </c>
      <c r="C14" s="26" t="s">
        <v>8</v>
      </c>
      <c r="D14" s="26" t="s">
        <v>9</v>
      </c>
      <c r="E14" s="27">
        <v>95</v>
      </c>
      <c r="H14" s="21">
        <v>46115</v>
      </c>
      <c r="I14" s="22">
        <f t="shared" si="0"/>
        <v>275</v>
      </c>
      <c r="J14" s="22">
        <v>770</v>
      </c>
      <c r="K14" s="23">
        <f t="shared" si="1"/>
        <v>495</v>
      </c>
      <c r="M14" s="24">
        <f t="shared" si="2"/>
        <v>705</v>
      </c>
      <c r="N14" s="24" t="str">
        <f t="shared" si="3"/>
        <v>🟢 OK</v>
      </c>
    </row>
    <row r="15" ht="21" customHeight="1" spans="2:14">
      <c r="B15" s="25">
        <v>46116</v>
      </c>
      <c r="C15" s="26" t="s">
        <v>14</v>
      </c>
      <c r="D15" s="26" t="s">
        <v>15</v>
      </c>
      <c r="E15" s="27">
        <v>250</v>
      </c>
      <c r="H15" s="21">
        <v>46116</v>
      </c>
      <c r="I15" s="22">
        <f t="shared" si="0"/>
        <v>697</v>
      </c>
      <c r="J15" s="22">
        <v>700</v>
      </c>
      <c r="K15" s="23">
        <f t="shared" si="1"/>
        <v>3</v>
      </c>
      <c r="M15" s="24">
        <f t="shared" si="2"/>
        <v>705</v>
      </c>
      <c r="N15" s="24" t="str">
        <f t="shared" si="3"/>
        <v>🔴 Over</v>
      </c>
    </row>
    <row r="16" ht="24" customHeight="1" spans="2:14">
      <c r="B16" s="25">
        <v>46116</v>
      </c>
      <c r="C16" s="26" t="s">
        <v>25</v>
      </c>
      <c r="D16" s="26" t="s">
        <v>11</v>
      </c>
      <c r="E16" s="27">
        <v>265</v>
      </c>
      <c r="H16" s="21">
        <v>46116</v>
      </c>
      <c r="I16" s="22">
        <f t="shared" si="0"/>
        <v>697</v>
      </c>
      <c r="J16" s="22">
        <v>900</v>
      </c>
      <c r="K16" s="23">
        <f t="shared" si="1"/>
        <v>203</v>
      </c>
      <c r="M16" s="24">
        <f t="shared" si="2"/>
        <v>705</v>
      </c>
      <c r="N16" s="24" t="str">
        <f t="shared" si="3"/>
        <v>🔴 Over</v>
      </c>
    </row>
    <row r="17" ht="24" customHeight="1" spans="2:14">
      <c r="B17" s="25">
        <v>46116</v>
      </c>
      <c r="C17" s="26" t="s">
        <v>12</v>
      </c>
      <c r="D17" s="26" t="s">
        <v>13</v>
      </c>
      <c r="E17" s="27">
        <v>120</v>
      </c>
      <c r="H17" s="21">
        <v>46116</v>
      </c>
      <c r="I17" s="22">
        <f t="shared" si="0"/>
        <v>447</v>
      </c>
      <c r="J17" s="22">
        <v>600</v>
      </c>
      <c r="K17" s="23">
        <f t="shared" si="1"/>
        <v>153</v>
      </c>
      <c r="M17" s="24">
        <f t="shared" si="2"/>
        <v>705</v>
      </c>
      <c r="N17" s="24" t="str">
        <f t="shared" si="3"/>
        <v>🔴 Over</v>
      </c>
    </row>
    <row r="18" ht="30" customHeight="1" spans="2:14">
      <c r="B18" s="25">
        <v>46116</v>
      </c>
      <c r="C18" s="26" t="s">
        <v>24</v>
      </c>
      <c r="D18" s="26" t="s">
        <v>9</v>
      </c>
      <c r="E18" s="27">
        <v>62</v>
      </c>
      <c r="H18" s="21">
        <v>46116</v>
      </c>
      <c r="I18" s="22">
        <f t="shared" si="0"/>
        <v>182</v>
      </c>
      <c r="J18" s="22">
        <v>500</v>
      </c>
      <c r="K18" s="23">
        <f t="shared" si="1"/>
        <v>318</v>
      </c>
      <c r="M18" s="24">
        <f t="shared" si="2"/>
        <v>705</v>
      </c>
      <c r="N18" s="24" t="str">
        <f t="shared" si="3"/>
        <v>🔴 Over</v>
      </c>
    </row>
    <row r="19" ht="26" customHeight="1" spans="2:14">
      <c r="B19" s="25">
        <v>46117</v>
      </c>
      <c r="C19" s="26" t="s">
        <v>26</v>
      </c>
      <c r="D19" s="26" t="s">
        <v>15</v>
      </c>
      <c r="E19" s="27">
        <v>180</v>
      </c>
      <c r="H19" s="21">
        <v>46117</v>
      </c>
      <c r="I19" s="22">
        <f t="shared" si="0"/>
        <v>413</v>
      </c>
      <c r="J19" s="22">
        <v>800</v>
      </c>
      <c r="K19" s="23">
        <f t="shared" si="1"/>
        <v>387</v>
      </c>
      <c r="M19" s="24">
        <f t="shared" si="2"/>
        <v>705</v>
      </c>
      <c r="N19" s="24" t="str">
        <f t="shared" si="3"/>
        <v>🔴 Over</v>
      </c>
    </row>
    <row r="20" ht="24" customHeight="1" spans="2:14">
      <c r="B20" s="25">
        <v>46117</v>
      </c>
      <c r="C20" s="26" t="s">
        <v>10</v>
      </c>
      <c r="D20" s="26" t="s">
        <v>11</v>
      </c>
      <c r="E20" s="27">
        <v>78</v>
      </c>
      <c r="H20" s="21">
        <v>46117</v>
      </c>
      <c r="I20" s="22">
        <f t="shared" si="0"/>
        <v>413</v>
      </c>
      <c r="J20" s="22">
        <v>413</v>
      </c>
      <c r="K20" s="23">
        <f t="shared" si="1"/>
        <v>0</v>
      </c>
      <c r="M20" s="24">
        <f t="shared" si="2"/>
        <v>705</v>
      </c>
      <c r="N20" s="24" t="str">
        <f t="shared" si="3"/>
        <v>🔴 Over</v>
      </c>
    </row>
    <row r="21" ht="23" customHeight="1" spans="2:14">
      <c r="B21" s="25">
        <v>46117</v>
      </c>
      <c r="C21" s="26" t="s">
        <v>19</v>
      </c>
      <c r="D21" s="26" t="s">
        <v>20</v>
      </c>
      <c r="E21" s="27">
        <v>50</v>
      </c>
      <c r="H21" s="21">
        <v>46117</v>
      </c>
      <c r="I21" s="22">
        <f t="shared" si="0"/>
        <v>233</v>
      </c>
      <c r="J21" s="22">
        <v>540</v>
      </c>
      <c r="K21" s="23">
        <f t="shared" si="1"/>
        <v>307</v>
      </c>
      <c r="M21" s="24">
        <f t="shared" si="2"/>
        <v>705</v>
      </c>
      <c r="N21" s="24" t="str">
        <f t="shared" si="3"/>
        <v>🟢 OK</v>
      </c>
    </row>
    <row r="22" ht="24" customHeight="1" spans="2:14">
      <c r="B22" s="28">
        <v>46117</v>
      </c>
      <c r="C22" s="29" t="s">
        <v>16</v>
      </c>
      <c r="D22" s="29" t="s">
        <v>9</v>
      </c>
      <c r="E22" s="30">
        <v>105</v>
      </c>
      <c r="H22" s="25">
        <v>46117</v>
      </c>
      <c r="I22" s="22">
        <f t="shared" si="0"/>
        <v>155</v>
      </c>
      <c r="J22" s="22">
        <v>155</v>
      </c>
      <c r="K22" s="23">
        <f t="shared" si="1"/>
        <v>0</v>
      </c>
      <c r="M22" s="24">
        <f t="shared" si="2"/>
        <v>705</v>
      </c>
      <c r="N22" s="24" t="str">
        <f t="shared" si="3"/>
        <v>🔴 Over</v>
      </c>
    </row>
    <row r="23" ht="24" customHeight="1" spans="2:14">
      <c r="B23" s="31">
        <v>46118</v>
      </c>
      <c r="C23" s="32" t="s">
        <v>29</v>
      </c>
      <c r="D23" s="32" t="s">
        <v>15</v>
      </c>
      <c r="E23" s="33">
        <v>160</v>
      </c>
      <c r="H23" s="31">
        <v>46118</v>
      </c>
      <c r="I23" s="22">
        <f t="shared" ref="I23:I42" si="4">SUMIF(B22:B41,B23,E22:E41)</f>
        <v>480</v>
      </c>
      <c r="J23" s="22">
        <v>480</v>
      </c>
      <c r="K23" s="23">
        <f t="shared" si="1"/>
        <v>0</v>
      </c>
      <c r="M23" s="24">
        <f t="shared" ref="M23:M42" si="5">MAX(I:I)</f>
        <v>705</v>
      </c>
      <c r="N23" s="24" t="str">
        <f t="shared" si="3"/>
        <v>🟢 OK</v>
      </c>
    </row>
    <row r="24" ht="24" customHeight="1" spans="2:14">
      <c r="B24" s="31">
        <v>46118</v>
      </c>
      <c r="C24" s="32" t="s">
        <v>30</v>
      </c>
      <c r="D24" s="32" t="s">
        <v>13</v>
      </c>
      <c r="E24" s="33">
        <v>110</v>
      </c>
      <c r="H24" s="31">
        <v>46118</v>
      </c>
      <c r="I24" s="22">
        <f t="shared" si="4"/>
        <v>480</v>
      </c>
      <c r="J24" s="22">
        <v>481</v>
      </c>
      <c r="K24" s="23">
        <f t="shared" si="1"/>
        <v>1</v>
      </c>
      <c r="M24" s="24">
        <f t="shared" si="5"/>
        <v>705</v>
      </c>
      <c r="N24" s="24" t="str">
        <f t="shared" si="3"/>
        <v>🟢 OK</v>
      </c>
    </row>
    <row r="25" ht="24" customHeight="1" spans="2:14">
      <c r="B25" s="31">
        <v>46118</v>
      </c>
      <c r="C25" s="32" t="s">
        <v>27</v>
      </c>
      <c r="D25" s="32" t="s">
        <v>11</v>
      </c>
      <c r="E25" s="33">
        <v>170</v>
      </c>
      <c r="H25" s="31">
        <v>46118</v>
      </c>
      <c r="I25" s="22">
        <f t="shared" si="4"/>
        <v>320</v>
      </c>
      <c r="J25" s="22">
        <v>482</v>
      </c>
      <c r="K25" s="23">
        <f t="shared" si="1"/>
        <v>162</v>
      </c>
      <c r="M25" s="24">
        <f t="shared" si="5"/>
        <v>705</v>
      </c>
      <c r="N25" s="24" t="str">
        <f t="shared" si="3"/>
        <v>🔴 Over</v>
      </c>
    </row>
    <row r="26" ht="23" customHeight="1" spans="2:14">
      <c r="B26" s="31">
        <v>46118</v>
      </c>
      <c r="C26" s="32" t="s">
        <v>28</v>
      </c>
      <c r="D26" s="32" t="s">
        <v>20</v>
      </c>
      <c r="E26" s="33">
        <v>40</v>
      </c>
      <c r="H26" s="31">
        <v>46118</v>
      </c>
      <c r="I26" s="22">
        <f t="shared" si="4"/>
        <v>210</v>
      </c>
      <c r="J26" s="22">
        <v>483</v>
      </c>
      <c r="K26" s="23">
        <f t="shared" si="1"/>
        <v>273</v>
      </c>
      <c r="M26" s="24">
        <f t="shared" si="5"/>
        <v>705</v>
      </c>
      <c r="N26" s="24" t="str">
        <f t="shared" si="3"/>
        <v>🔴 Over</v>
      </c>
    </row>
    <row r="27" ht="23" customHeight="1" spans="2:14">
      <c r="B27" s="31">
        <v>46119</v>
      </c>
      <c r="C27" s="32" t="s">
        <v>31</v>
      </c>
      <c r="D27" s="32" t="s">
        <v>15</v>
      </c>
      <c r="E27" s="33">
        <v>140</v>
      </c>
      <c r="H27" s="31">
        <v>46119</v>
      </c>
      <c r="I27" s="22">
        <f t="shared" si="4"/>
        <v>535</v>
      </c>
      <c r="J27" s="22">
        <v>900</v>
      </c>
      <c r="K27" s="23">
        <f t="shared" si="1"/>
        <v>365</v>
      </c>
      <c r="M27" s="24">
        <f t="shared" si="5"/>
        <v>705</v>
      </c>
      <c r="N27" s="24" t="str">
        <f t="shared" si="3"/>
        <v>🔴 Over</v>
      </c>
    </row>
    <row r="28" ht="26" customHeight="1" spans="2:14">
      <c r="B28" s="31">
        <v>46119</v>
      </c>
      <c r="C28" s="32" t="s">
        <v>32</v>
      </c>
      <c r="D28" s="32" t="s">
        <v>11</v>
      </c>
      <c r="E28" s="33">
        <v>180</v>
      </c>
      <c r="H28" s="31">
        <v>46119</v>
      </c>
      <c r="I28" s="22">
        <f t="shared" si="4"/>
        <v>535</v>
      </c>
      <c r="J28" s="22">
        <v>890</v>
      </c>
      <c r="K28" s="23">
        <f t="shared" si="1"/>
        <v>355</v>
      </c>
      <c r="M28" s="24">
        <f t="shared" si="5"/>
        <v>705</v>
      </c>
      <c r="N28" s="24" t="str">
        <f t="shared" si="3"/>
        <v>🔴 Over</v>
      </c>
    </row>
    <row r="29" ht="23" customHeight="1" spans="2:14">
      <c r="B29" s="31">
        <v>46119</v>
      </c>
      <c r="C29" s="32" t="s">
        <v>12</v>
      </c>
      <c r="D29" s="32" t="s">
        <v>13</v>
      </c>
      <c r="E29" s="33">
        <v>120</v>
      </c>
      <c r="H29" s="31">
        <v>46119</v>
      </c>
      <c r="I29" s="22">
        <f t="shared" si="4"/>
        <v>395</v>
      </c>
      <c r="J29" s="22">
        <v>486</v>
      </c>
      <c r="K29" s="23">
        <f t="shared" si="1"/>
        <v>91</v>
      </c>
      <c r="M29" s="24">
        <f t="shared" si="5"/>
        <v>705</v>
      </c>
      <c r="N29" s="24" t="str">
        <f t="shared" si="3"/>
        <v>🔴 Over</v>
      </c>
    </row>
    <row r="30" ht="24" customHeight="1" spans="2:14">
      <c r="B30" s="31">
        <v>46119</v>
      </c>
      <c r="C30" s="32" t="s">
        <v>8</v>
      </c>
      <c r="D30" s="32" t="s">
        <v>9</v>
      </c>
      <c r="E30" s="33">
        <v>95</v>
      </c>
      <c r="H30" s="31">
        <v>46119</v>
      </c>
      <c r="I30" s="22">
        <f t="shared" si="4"/>
        <v>215</v>
      </c>
      <c r="J30" s="22">
        <v>487</v>
      </c>
      <c r="K30" s="23">
        <f t="shared" si="1"/>
        <v>272</v>
      </c>
      <c r="M30" s="24">
        <f t="shared" si="5"/>
        <v>705</v>
      </c>
      <c r="N30" s="24" t="str">
        <f t="shared" si="3"/>
        <v>🔴 Over</v>
      </c>
    </row>
    <row r="31" ht="22" customHeight="1" spans="2:14">
      <c r="B31" s="31">
        <v>46120</v>
      </c>
      <c r="C31" s="32" t="s">
        <v>35</v>
      </c>
      <c r="D31" s="32" t="s">
        <v>15</v>
      </c>
      <c r="E31" s="33">
        <v>220</v>
      </c>
      <c r="H31" s="31">
        <v>46120</v>
      </c>
      <c r="I31" s="22">
        <f t="shared" si="4"/>
        <v>637</v>
      </c>
      <c r="J31" s="22">
        <v>488</v>
      </c>
      <c r="K31" s="23">
        <f t="shared" si="1"/>
        <v>-149</v>
      </c>
      <c r="M31" s="24">
        <f t="shared" si="5"/>
        <v>705</v>
      </c>
      <c r="N31" s="24" t="str">
        <f t="shared" si="3"/>
        <v>🔴 Over</v>
      </c>
    </row>
    <row r="32" ht="21" customHeight="1" spans="2:14">
      <c r="B32" s="31">
        <v>46120</v>
      </c>
      <c r="C32" s="32" t="s">
        <v>33</v>
      </c>
      <c r="D32" s="32" t="s">
        <v>13</v>
      </c>
      <c r="E32" s="33">
        <v>200</v>
      </c>
      <c r="H32" s="31">
        <v>46120</v>
      </c>
      <c r="I32" s="22">
        <f t="shared" si="4"/>
        <v>637</v>
      </c>
      <c r="J32" s="22">
        <v>489</v>
      </c>
      <c r="K32" s="23">
        <f t="shared" si="1"/>
        <v>-148</v>
      </c>
      <c r="M32" s="24">
        <f t="shared" si="5"/>
        <v>705</v>
      </c>
      <c r="N32" s="24" t="str">
        <f t="shared" si="3"/>
        <v>🟢 OK</v>
      </c>
    </row>
    <row r="33" ht="21" customHeight="1" spans="2:14">
      <c r="B33" s="31">
        <v>46120</v>
      </c>
      <c r="C33" s="32" t="s">
        <v>34</v>
      </c>
      <c r="D33" s="32" t="s">
        <v>11</v>
      </c>
      <c r="E33" s="33">
        <v>155</v>
      </c>
      <c r="H33" s="31">
        <v>46120</v>
      </c>
      <c r="I33" s="22">
        <f t="shared" si="4"/>
        <v>417</v>
      </c>
      <c r="J33" s="22">
        <v>490</v>
      </c>
      <c r="K33" s="23">
        <f t="shared" si="1"/>
        <v>73</v>
      </c>
      <c r="M33" s="24">
        <f t="shared" si="5"/>
        <v>705</v>
      </c>
      <c r="N33" s="24" t="str">
        <f t="shared" si="3"/>
        <v>🟢 OK</v>
      </c>
    </row>
    <row r="34" ht="19" customHeight="1" spans="2:14">
      <c r="B34" s="31">
        <v>46120</v>
      </c>
      <c r="C34" s="32" t="s">
        <v>24</v>
      </c>
      <c r="D34" s="32" t="s">
        <v>9</v>
      </c>
      <c r="E34" s="33">
        <v>62</v>
      </c>
      <c r="H34" s="31">
        <v>46120</v>
      </c>
      <c r="I34" s="22">
        <f t="shared" si="4"/>
        <v>217</v>
      </c>
      <c r="J34" s="22">
        <v>491</v>
      </c>
      <c r="K34" s="23">
        <f t="shared" si="1"/>
        <v>274</v>
      </c>
      <c r="M34" s="24">
        <f t="shared" si="5"/>
        <v>705</v>
      </c>
      <c r="N34" s="24" t="str">
        <f t="shared" si="3"/>
        <v>🔴 Over</v>
      </c>
    </row>
    <row r="35" ht="19" customHeight="1" spans="2:14">
      <c r="B35" s="31">
        <v>46121</v>
      </c>
      <c r="C35" s="32" t="s">
        <v>36</v>
      </c>
      <c r="D35" s="32" t="s">
        <v>15</v>
      </c>
      <c r="E35" s="33">
        <v>250</v>
      </c>
      <c r="H35" s="31">
        <v>46121</v>
      </c>
      <c r="I35" s="22">
        <f t="shared" si="4"/>
        <v>705</v>
      </c>
      <c r="J35" s="22">
        <v>900</v>
      </c>
      <c r="K35" s="23">
        <f t="shared" si="1"/>
        <v>195</v>
      </c>
      <c r="M35" s="24">
        <f t="shared" si="5"/>
        <v>705</v>
      </c>
      <c r="N35" s="24" t="str">
        <f t="shared" si="3"/>
        <v>🔴 Over</v>
      </c>
    </row>
    <row r="36" ht="21" customHeight="1" spans="2:14">
      <c r="B36" s="31">
        <v>46121</v>
      </c>
      <c r="C36" s="32" t="s">
        <v>17</v>
      </c>
      <c r="D36" s="32" t="s">
        <v>11</v>
      </c>
      <c r="E36" s="33">
        <v>240</v>
      </c>
      <c r="H36" s="31">
        <v>46121</v>
      </c>
      <c r="I36" s="22">
        <f t="shared" si="4"/>
        <v>705</v>
      </c>
      <c r="J36" s="22">
        <v>790</v>
      </c>
      <c r="K36" s="23">
        <f t="shared" si="1"/>
        <v>85</v>
      </c>
      <c r="M36" s="24">
        <f t="shared" si="5"/>
        <v>705</v>
      </c>
      <c r="N36" s="24" t="str">
        <f t="shared" si="3"/>
        <v>🔴 Over</v>
      </c>
    </row>
    <row r="37" ht="18" customHeight="1" spans="2:14">
      <c r="B37" s="31">
        <v>46121</v>
      </c>
      <c r="C37" s="32" t="s">
        <v>30</v>
      </c>
      <c r="D37" s="32" t="s">
        <v>13</v>
      </c>
      <c r="E37" s="33">
        <v>110</v>
      </c>
      <c r="H37" s="31">
        <v>46121</v>
      </c>
      <c r="I37" s="22">
        <f t="shared" si="4"/>
        <v>455</v>
      </c>
      <c r="J37" s="22">
        <v>455</v>
      </c>
      <c r="K37" s="23">
        <f t="shared" si="1"/>
        <v>0</v>
      </c>
      <c r="M37" s="24">
        <f t="shared" si="5"/>
        <v>705</v>
      </c>
      <c r="N37" s="24" t="str">
        <f t="shared" si="3"/>
        <v>🔴 Over</v>
      </c>
    </row>
    <row r="38" ht="20" customHeight="1" spans="2:14">
      <c r="B38" s="31">
        <v>46121</v>
      </c>
      <c r="C38" s="32" t="s">
        <v>16</v>
      </c>
      <c r="D38" s="32" t="s">
        <v>9</v>
      </c>
      <c r="E38" s="33">
        <v>105</v>
      </c>
      <c r="H38" s="31">
        <v>46121</v>
      </c>
      <c r="I38" s="22">
        <f t="shared" si="4"/>
        <v>215</v>
      </c>
      <c r="J38" s="22">
        <v>495</v>
      </c>
      <c r="K38" s="23">
        <f t="shared" si="1"/>
        <v>280</v>
      </c>
      <c r="M38" s="24">
        <f t="shared" si="5"/>
        <v>705</v>
      </c>
      <c r="N38" s="24" t="str">
        <f t="shared" si="3"/>
        <v>🟢 OK</v>
      </c>
    </row>
    <row r="39" ht="17" customHeight="1" spans="2:14">
      <c r="B39" s="31">
        <v>46122</v>
      </c>
      <c r="C39" s="32" t="s">
        <v>37</v>
      </c>
      <c r="D39" s="32" t="s">
        <v>15</v>
      </c>
      <c r="E39" s="33">
        <v>180</v>
      </c>
      <c r="H39" s="31">
        <v>46122</v>
      </c>
      <c r="I39" s="22">
        <f t="shared" si="4"/>
        <v>590</v>
      </c>
      <c r="J39" s="22">
        <v>700</v>
      </c>
      <c r="K39" s="23">
        <f t="shared" si="1"/>
        <v>110</v>
      </c>
      <c r="M39" s="24">
        <f t="shared" si="5"/>
        <v>705</v>
      </c>
      <c r="N39" s="24" t="str">
        <f t="shared" si="3"/>
        <v>🔴 Over</v>
      </c>
    </row>
    <row r="40" ht="22" customHeight="1" spans="2:14">
      <c r="B40" s="31">
        <v>46122</v>
      </c>
      <c r="C40" s="32" t="s">
        <v>25</v>
      </c>
      <c r="D40" s="32" t="s">
        <v>11</v>
      </c>
      <c r="E40" s="33">
        <v>265</v>
      </c>
      <c r="H40" s="31">
        <v>46122</v>
      </c>
      <c r="I40" s="22">
        <f t="shared" si="4"/>
        <v>590</v>
      </c>
      <c r="J40" s="22">
        <v>590</v>
      </c>
      <c r="K40" s="23">
        <f t="shared" si="1"/>
        <v>0</v>
      </c>
      <c r="M40" s="24">
        <f t="shared" si="5"/>
        <v>705</v>
      </c>
      <c r="N40" s="24" t="str">
        <f t="shared" si="3"/>
        <v>🔴 Over</v>
      </c>
    </row>
    <row r="41" ht="24" customHeight="1" spans="2:14">
      <c r="B41" s="31">
        <v>46122</v>
      </c>
      <c r="C41" s="32" t="s">
        <v>19</v>
      </c>
      <c r="D41" s="32" t="s">
        <v>20</v>
      </c>
      <c r="E41" s="33">
        <v>50</v>
      </c>
      <c r="H41" s="31">
        <v>46122</v>
      </c>
      <c r="I41" s="22">
        <f t="shared" si="4"/>
        <v>410</v>
      </c>
      <c r="J41" s="22">
        <v>410</v>
      </c>
      <c r="K41" s="23">
        <f>J41-I41</f>
        <v>0</v>
      </c>
      <c r="M41" s="24">
        <f t="shared" si="5"/>
        <v>705</v>
      </c>
      <c r="N41" s="24" t="str">
        <f t="shared" si="3"/>
        <v>🟢 OK</v>
      </c>
    </row>
    <row r="42" ht="21" customHeight="1" spans="2:14">
      <c r="B42" s="34">
        <v>46122</v>
      </c>
      <c r="C42" s="35" t="s">
        <v>8</v>
      </c>
      <c r="D42" s="35" t="s">
        <v>9</v>
      </c>
      <c r="E42" s="36">
        <v>95</v>
      </c>
      <c r="H42" s="34">
        <v>46122</v>
      </c>
      <c r="I42" s="22">
        <f t="shared" si="4"/>
        <v>145</v>
      </c>
      <c r="J42" s="37">
        <v>800</v>
      </c>
      <c r="K42" s="23">
        <f>J42-I42</f>
        <v>655</v>
      </c>
      <c r="M42" s="24">
        <f t="shared" si="5"/>
        <v>705</v>
      </c>
      <c r="N42" s="24" t="str">
        <f t="shared" si="3"/>
        <v>🟢 OK</v>
      </c>
    </row>
    <row r="43" ht="15.15"/>
  </sheetData>
  <mergeCells count="2">
    <mergeCell ref="B1:E1"/>
    <mergeCell ref="H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98"/>
  <sheetViews>
    <sheetView tabSelected="1" zoomScale="55" zoomScaleNormal="55" workbookViewId="0">
      <selection activeCell="AG19" sqref="AG19"/>
    </sheetView>
  </sheetViews>
  <sheetFormatPr defaultColWidth="8.88888888888889" defaultRowHeight="14.4"/>
  <cols>
    <col min="5" max="5" width="15.2222222222222"/>
    <col min="6" max="6" width="12.4444444444444"/>
    <col min="7" max="7" width="9"/>
    <col min="8" max="17" width="7.55555555555556"/>
    <col min="18" max="18" width="11.4444444444444"/>
    <col min="19" max="19" width="7.11111111111111"/>
    <col min="20" max="20" width="9.33333333333333"/>
    <col min="21" max="21" width="7.11111111111111"/>
    <col min="22" max="22" width="9.33333333333333"/>
    <col min="23" max="23" width="7.11111111111111"/>
    <col min="24" max="24" width="9.33333333333333"/>
    <col min="25" max="25" width="7.11111111111111"/>
    <col min="26" max="26" width="9.33333333333333"/>
    <col min="27" max="27" width="7.11111111111111"/>
    <col min="28" max="28" width="9.33333333333333"/>
    <col min="29" max="29" width="7.11111111111111"/>
    <col min="30" max="30" width="9.33333333333333"/>
    <col min="31" max="31" width="7.11111111111111"/>
    <col min="32" max="32" width="9.33333333333333"/>
    <col min="33" max="33" width="7.11111111111111"/>
    <col min="34" max="34" width="9.33333333333333"/>
    <col min="35" max="35" width="7.11111111111111"/>
    <col min="36" max="36" width="9.33333333333333"/>
    <col min="37" max="37" width="7.11111111111111"/>
    <col min="38" max="38" width="9.33333333333333"/>
    <col min="39" max="39" width="7.11111111111111"/>
    <col min="40" max="40" width="9.33333333333333"/>
    <col min="41" max="41" width="7.11111111111111"/>
    <col min="42" max="42" width="9.33333333333333"/>
    <col min="43" max="43" width="7.11111111111111"/>
    <col min="44" max="44" width="9.33333333333333"/>
    <col min="45" max="45" width="7.11111111111111"/>
    <col min="46" max="46" width="9.33333333333333"/>
    <col min="47" max="47" width="7.11111111111111"/>
    <col min="48" max="48" width="9.33333333333333"/>
    <col min="49" max="49" width="7.11111111111111"/>
    <col min="50" max="50" width="9.33333333333333"/>
    <col min="51" max="51" width="7.11111111111111"/>
    <col min="52" max="52" width="9.33333333333333"/>
    <col min="53" max="54" width="7.11111111111111"/>
    <col min="55" max="55" width="9.33333333333333"/>
    <col min="56" max="56" width="7.11111111111111"/>
    <col min="57" max="57" width="9.33333333333333"/>
    <col min="58" max="58" width="7.11111111111111"/>
    <col min="59" max="59" width="9.33333333333333"/>
    <col min="60" max="60" width="7.11111111111111"/>
    <col min="61" max="61" width="9.33333333333333"/>
    <col min="62" max="62" width="7.11111111111111"/>
    <col min="63" max="63" width="9.33333333333333"/>
    <col min="64" max="64" width="7.11111111111111"/>
    <col min="65" max="65" width="9.33333333333333"/>
    <col min="66" max="66" width="7.11111111111111"/>
    <col min="67" max="67" width="9.33333333333333"/>
    <col min="68" max="69" width="7.11111111111111"/>
    <col min="70" max="70" width="9.33333333333333"/>
    <col min="71" max="72" width="7.11111111111111"/>
    <col min="73" max="73" width="9.33333333333333"/>
    <col min="74" max="77" width="7.11111111111111"/>
    <col min="78" max="78" width="9.33333333333333"/>
    <col min="79" max="79" width="7.11111111111111"/>
    <col min="80" max="80" width="9.33333333333333"/>
    <col min="81" max="81" width="11.4444444444444"/>
    <col min="82" max="82" width="9.33333333333333"/>
    <col min="83" max="83" width="9.00925925925926"/>
    <col min="84" max="84" width="12"/>
    <col min="85" max="85" width="9.33333333333333"/>
    <col min="86" max="86" width="9.00925925925926"/>
    <col min="87" max="87" width="12"/>
    <col min="88" max="88" width="9.33333333333333"/>
    <col min="89" max="89" width="9.00925925925926"/>
    <col min="90" max="90" width="12"/>
    <col min="91" max="91" width="9.33333333333333"/>
    <col min="92" max="92" width="9.00925925925926"/>
    <col min="93" max="93" width="12"/>
    <col min="94" max="94" width="9.33333333333333"/>
    <col min="95" max="95" width="9.00925925925926"/>
    <col min="96" max="96" width="12"/>
    <col min="97" max="97" width="9.33333333333333"/>
    <col min="98" max="98" width="9.00925925925926"/>
    <col min="99" max="99" width="12"/>
    <col min="100" max="100" width="9.00925925925926"/>
    <col min="101" max="101" width="12"/>
    <col min="102" max="102" width="9.33333333333333"/>
    <col min="103" max="103" width="9.00925925925926"/>
    <col min="104" max="104" width="12"/>
    <col min="105" max="105" width="9.00925925925926"/>
    <col min="106" max="106" width="12"/>
    <col min="107" max="107" width="9.33333333333333"/>
    <col min="108" max="108" width="9.00925925925926"/>
    <col min="109" max="109" width="12"/>
    <col min="110" max="110" width="9.00925925925926"/>
    <col min="111" max="111" width="12"/>
    <col min="112" max="112" width="9.00925925925926"/>
    <col min="113" max="113" width="12"/>
    <col min="114" max="114" width="9.00925925925926"/>
    <col min="115" max="115" width="12"/>
    <col min="116" max="116" width="9.33333333333333"/>
    <col min="117" max="117" width="9.00925925925926"/>
    <col min="118" max="118" width="12"/>
    <col min="119" max="119" width="9.33333333333333"/>
    <col min="120" max="120" width="11.4444444444444"/>
    <col min="121" max="121" width="12"/>
    <col min="122" max="123" width="9.33333333333333"/>
    <col min="124" max="124" width="9.00925925925926"/>
    <col min="125" max="125" width="12"/>
    <col min="126" max="127" width="9.33333333333333"/>
    <col min="128" max="128" width="9.00925925925926"/>
    <col min="129" max="129" width="12"/>
    <col min="130" max="130" width="9.33333333333333"/>
    <col min="131" max="131" width="9.00925925925926"/>
    <col min="132" max="132" width="12"/>
    <col min="133" max="134" width="9.33333333333333"/>
    <col min="135" max="135" width="9.00925925925926"/>
    <col min="136" max="136" width="12"/>
    <col min="137" max="137" width="9.33333333333333"/>
    <col min="138" max="138" width="9.00925925925926"/>
    <col min="139" max="139" width="12"/>
    <col min="140" max="141" width="9.33333333333333"/>
    <col min="142" max="142" width="9.00925925925926"/>
    <col min="143" max="143" width="12"/>
    <col min="144" max="144" width="9.33333333333333"/>
    <col min="145" max="145" width="9.00925925925926"/>
    <col min="146" max="146" width="12"/>
    <col min="147" max="147" width="9.33333333333333"/>
    <col min="148" max="148" width="9.00925925925926"/>
    <col min="149" max="149" width="12"/>
    <col min="150" max="150" width="9.33333333333333"/>
    <col min="151" max="151" width="9.00925925925926"/>
    <col min="152" max="152" width="12"/>
    <col min="153" max="154" width="9.33333333333333"/>
    <col min="155" max="155" width="9.00925925925926"/>
    <col min="156" max="156" width="12"/>
    <col min="157" max="158" width="9.33333333333333"/>
    <col min="159" max="159" width="11.4444444444444"/>
  </cols>
  <sheetData>
    <row r="2" spans="2:8">
      <c r="B2" s="1" t="s">
        <v>47</v>
      </c>
      <c r="C2" s="2"/>
      <c r="D2" s="2"/>
      <c r="E2" s="2"/>
      <c r="F2" s="2"/>
      <c r="G2" s="2"/>
      <c r="H2" s="2"/>
    </row>
    <row r="3" spans="2:8">
      <c r="B3" s="2"/>
      <c r="C3" s="2"/>
      <c r="D3" s="2"/>
      <c r="E3" s="2"/>
      <c r="F3" s="2"/>
      <c r="G3" s="2"/>
      <c r="H3" s="2"/>
    </row>
    <row r="4" spans="2:8">
      <c r="B4" s="2"/>
      <c r="C4" s="2"/>
      <c r="D4" s="2"/>
      <c r="E4" s="2"/>
      <c r="F4" s="2"/>
      <c r="G4" s="2"/>
      <c r="H4" s="2"/>
    </row>
    <row r="29" spans="5:18">
      <c r="E29" t="s">
        <v>48</v>
      </c>
      <c r="F29"/>
      <c r="G29"/>
      <c r="H29" t="s">
        <v>1</v>
      </c>
    </row>
    <row r="30" spans="5:18">
      <c r="E30" t="s">
        <v>42</v>
      </c>
      <c r="F30" t="s">
        <v>44</v>
      </c>
      <c r="G30" t="s">
        <v>43</v>
      </c>
      <c r="H30" s="3">
        <v>46113</v>
      </c>
      <c r="I30" s="3">
        <v>46114</v>
      </c>
      <c r="J30" s="3">
        <v>46115</v>
      </c>
      <c r="K30" s="3">
        <v>46116</v>
      </c>
      <c r="L30" s="3">
        <v>46117</v>
      </c>
      <c r="M30" s="3">
        <v>46118</v>
      </c>
      <c r="N30" s="3">
        <v>46119</v>
      </c>
      <c r="O30" s="3">
        <v>46120</v>
      </c>
      <c r="P30" s="3">
        <v>46121</v>
      </c>
      <c r="Q30" s="3">
        <v>46122</v>
      </c>
      <c r="R30" t="s">
        <v>38</v>
      </c>
    </row>
    <row r="31" spans="5:18">
      <c r="E31">
        <v>182</v>
      </c>
      <c r="F31"/>
      <c r="G31"/>
      <c r="H31"/>
      <c r="I31"/>
      <c r="J31"/>
      <c r="K31">
        <v>182</v>
      </c>
      <c r="L31"/>
      <c r="M31"/>
      <c r="N31"/>
      <c r="O31"/>
      <c r="P31"/>
      <c r="Q31"/>
      <c r="R31">
        <v>182</v>
      </c>
    </row>
    <row r="32" spans="5:18">
      <c r="F32">
        <v>318</v>
      </c>
      <c r="G32"/>
      <c r="H32"/>
      <c r="I32"/>
      <c r="J32"/>
      <c r="K32">
        <v>182</v>
      </c>
      <c r="L32"/>
      <c r="M32"/>
      <c r="N32"/>
      <c r="O32"/>
      <c r="R32">
        <v>182</v>
      </c>
    </row>
    <row r="33" spans="5:18">
      <c r="G33">
        <v>500</v>
      </c>
      <c r="K33">
        <v>182</v>
      </c>
      <c r="R33">
        <v>182</v>
      </c>
    </row>
    <row r="34" spans="5:18">
      <c r="E34">
        <v>210</v>
      </c>
      <c r="F34"/>
      <c r="G34"/>
      <c r="M34">
        <v>210</v>
      </c>
      <c r="R34">
        <v>210</v>
      </c>
    </row>
    <row r="35" spans="5:18">
      <c r="F35">
        <v>273</v>
      </c>
      <c r="G35"/>
      <c r="M35">
        <v>210</v>
      </c>
      <c r="R35">
        <v>210</v>
      </c>
    </row>
    <row r="36" spans="5:18">
      <c r="G36">
        <v>483</v>
      </c>
      <c r="M36">
        <v>210</v>
      </c>
      <c r="R36">
        <v>210</v>
      </c>
    </row>
    <row r="37" spans="5:18">
      <c r="E37">
        <v>215</v>
      </c>
      <c r="F37"/>
      <c r="G37"/>
      <c r="N37">
        <v>215</v>
      </c>
      <c r="P37">
        <v>215</v>
      </c>
      <c r="R37">
        <v>430</v>
      </c>
    </row>
    <row r="38" spans="5:18">
      <c r="F38">
        <v>272</v>
      </c>
      <c r="G38"/>
      <c r="N38">
        <v>215</v>
      </c>
      <c r="R38">
        <v>215</v>
      </c>
    </row>
    <row r="39" spans="5:18">
      <c r="G39">
        <v>487</v>
      </c>
      <c r="N39">
        <v>215</v>
      </c>
      <c r="R39">
        <v>215</v>
      </c>
    </row>
    <row r="40" spans="5:18">
      <c r="F40">
        <v>280</v>
      </c>
      <c r="G40"/>
      <c r="H40"/>
      <c r="P40">
        <v>215</v>
      </c>
      <c r="R40">
        <v>215</v>
      </c>
    </row>
    <row r="41" spans="5:18">
      <c r="G41">
        <v>495</v>
      </c>
      <c r="H41"/>
      <c r="P41">
        <v>215</v>
      </c>
      <c r="R41">
        <v>215</v>
      </c>
    </row>
    <row r="42" spans="5:18">
      <c r="E42">
        <v>217</v>
      </c>
      <c r="F42"/>
      <c r="G42"/>
      <c r="H42"/>
      <c r="O42">
        <v>217</v>
      </c>
      <c r="R42">
        <v>217</v>
      </c>
    </row>
    <row r="43" spans="5:18">
      <c r="F43">
        <v>274</v>
      </c>
      <c r="G43"/>
      <c r="O43">
        <v>217</v>
      </c>
      <c r="P43"/>
      <c r="R43">
        <v>217</v>
      </c>
    </row>
    <row r="44" spans="5:18">
      <c r="G44">
        <v>491</v>
      </c>
      <c r="O44">
        <v>217</v>
      </c>
      <c r="P44"/>
      <c r="R44">
        <v>217</v>
      </c>
    </row>
    <row r="45" spans="5:18">
      <c r="E45">
        <v>233</v>
      </c>
      <c r="F45"/>
      <c r="G45"/>
      <c r="L45">
        <v>233</v>
      </c>
      <c r="M45"/>
      <c r="N45"/>
      <c r="O45"/>
      <c r="R45">
        <v>233</v>
      </c>
    </row>
    <row r="46" spans="5:18">
      <c r="F46">
        <v>307</v>
      </c>
      <c r="G46"/>
      <c r="L46">
        <v>233</v>
      </c>
      <c r="R46">
        <v>233</v>
      </c>
    </row>
    <row r="47" spans="5:18">
      <c r="G47">
        <v>540</v>
      </c>
      <c r="L47">
        <v>233</v>
      </c>
      <c r="R47">
        <v>233</v>
      </c>
    </row>
    <row r="48" spans="5:18">
      <c r="E48">
        <v>275</v>
      </c>
      <c r="F48"/>
      <c r="G48"/>
      <c r="J48">
        <v>275</v>
      </c>
      <c r="R48">
        <v>275</v>
      </c>
    </row>
    <row r="49" spans="5:18">
      <c r="F49">
        <v>495</v>
      </c>
      <c r="J49">
        <v>275</v>
      </c>
      <c r="R49">
        <v>275</v>
      </c>
    </row>
    <row r="50" spans="5:18">
      <c r="G50">
        <v>770</v>
      </c>
      <c r="J50">
        <v>275</v>
      </c>
      <c r="R50">
        <v>275</v>
      </c>
    </row>
    <row r="51" spans="5:18">
      <c r="E51">
        <v>395</v>
      </c>
      <c r="N51">
        <v>395</v>
      </c>
      <c r="O51"/>
      <c r="R51">
        <v>395</v>
      </c>
    </row>
    <row r="52" spans="5:18">
      <c r="F52">
        <v>91</v>
      </c>
      <c r="N52">
        <v>395</v>
      </c>
      <c r="O52"/>
      <c r="R52">
        <v>395</v>
      </c>
    </row>
    <row r="53" spans="5:18">
      <c r="G53">
        <v>486</v>
      </c>
      <c r="N53">
        <v>395</v>
      </c>
      <c r="O53"/>
      <c r="R53">
        <v>395</v>
      </c>
    </row>
    <row r="54" spans="5:18">
      <c r="E54">
        <v>410</v>
      </c>
      <c r="F54"/>
      <c r="I54">
        <v>410</v>
      </c>
      <c r="J54"/>
      <c r="R54">
        <v>410</v>
      </c>
    </row>
    <row r="55" spans="5:18">
      <c r="F55">
        <v>303</v>
      </c>
      <c r="I55">
        <v>410</v>
      </c>
      <c r="J55"/>
      <c r="R55">
        <v>410</v>
      </c>
    </row>
    <row r="56" spans="5:18">
      <c r="G56">
        <v>713</v>
      </c>
      <c r="I56">
        <v>410</v>
      </c>
      <c r="J56"/>
      <c r="R56">
        <v>410</v>
      </c>
    </row>
    <row r="57" spans="5:18">
      <c r="E57">
        <v>413</v>
      </c>
      <c r="L57">
        <v>413</v>
      </c>
      <c r="R57">
        <v>413</v>
      </c>
    </row>
    <row r="58" spans="5:18">
      <c r="F58">
        <v>387</v>
      </c>
      <c r="L58">
        <v>413</v>
      </c>
      <c r="R58">
        <v>413</v>
      </c>
    </row>
    <row r="59" spans="5:18">
      <c r="G59">
        <v>800</v>
      </c>
      <c r="L59">
        <v>413</v>
      </c>
      <c r="R59">
        <v>413</v>
      </c>
    </row>
    <row r="60" spans="5:18">
      <c r="E60">
        <v>417</v>
      </c>
      <c r="F60"/>
      <c r="O60">
        <v>417</v>
      </c>
      <c r="R60">
        <v>417</v>
      </c>
    </row>
    <row r="61" spans="5:18">
      <c r="F61">
        <v>73</v>
      </c>
      <c r="O61">
        <v>417</v>
      </c>
      <c r="R61">
        <v>417</v>
      </c>
    </row>
    <row r="62" spans="5:18">
      <c r="G62">
        <v>490</v>
      </c>
      <c r="O62">
        <v>417</v>
      </c>
      <c r="R62">
        <v>417</v>
      </c>
    </row>
    <row r="63" spans="5:18">
      <c r="E63">
        <v>447</v>
      </c>
      <c r="F63"/>
      <c r="K63">
        <v>447</v>
      </c>
      <c r="R63">
        <v>447</v>
      </c>
    </row>
    <row r="64" spans="5:18">
      <c r="F64">
        <v>153</v>
      </c>
      <c r="K64">
        <v>447</v>
      </c>
      <c r="R64">
        <v>447</v>
      </c>
    </row>
    <row r="65" spans="5:18">
      <c r="G65">
        <v>600</v>
      </c>
      <c r="K65">
        <v>447</v>
      </c>
      <c r="R65">
        <v>447</v>
      </c>
    </row>
    <row r="66" spans="5:18">
      <c r="E66">
        <v>448</v>
      </c>
      <c r="F66"/>
      <c r="H66">
        <v>448</v>
      </c>
      <c r="I66"/>
      <c r="J66"/>
      <c r="K66"/>
      <c r="R66">
        <v>448</v>
      </c>
    </row>
    <row r="67" spans="5:18">
      <c r="F67">
        <v>261</v>
      </c>
      <c r="H67">
        <v>448</v>
      </c>
      <c r="R67">
        <v>448</v>
      </c>
    </row>
    <row r="68" spans="5:18">
      <c r="G68">
        <v>709</v>
      </c>
      <c r="H68">
        <v>448</v>
      </c>
      <c r="R68">
        <v>448</v>
      </c>
    </row>
    <row r="69" spans="5:18">
      <c r="E69">
        <v>515</v>
      </c>
      <c r="F69"/>
      <c r="I69">
        <v>515</v>
      </c>
      <c r="R69">
        <v>515</v>
      </c>
    </row>
    <row r="70" spans="5:18">
      <c r="F70">
        <v>196</v>
      </c>
      <c r="G70"/>
      <c r="H70"/>
      <c r="I70">
        <v>515</v>
      </c>
      <c r="R70">
        <v>515</v>
      </c>
    </row>
    <row r="71" spans="5:18">
      <c r="G71">
        <v>711</v>
      </c>
      <c r="H71"/>
      <c r="I71">
        <v>515</v>
      </c>
      <c r="R71">
        <v>515</v>
      </c>
    </row>
    <row r="72" spans="5:18">
      <c r="E72">
        <v>527</v>
      </c>
      <c r="F72"/>
      <c r="J72">
        <v>1054</v>
      </c>
      <c r="R72">
        <v>1054</v>
      </c>
    </row>
    <row r="73" spans="5:18">
      <c r="F73">
        <v>253</v>
      </c>
      <c r="G73"/>
      <c r="J73">
        <v>527</v>
      </c>
      <c r="R73">
        <v>527</v>
      </c>
    </row>
    <row r="74" spans="5:18">
      <c r="G74">
        <v>780</v>
      </c>
      <c r="J74">
        <v>527</v>
      </c>
      <c r="R74">
        <v>527</v>
      </c>
    </row>
    <row r="75" spans="5:18">
      <c r="F75">
        <v>453</v>
      </c>
      <c r="J75">
        <v>527</v>
      </c>
      <c r="R75">
        <v>527</v>
      </c>
    </row>
    <row r="76" spans="5:18">
      <c r="G76">
        <v>980</v>
      </c>
      <c r="J76">
        <v>527</v>
      </c>
      <c r="R76">
        <v>527</v>
      </c>
    </row>
    <row r="77" spans="5:18">
      <c r="E77">
        <v>535</v>
      </c>
      <c r="F77"/>
      <c r="G77"/>
      <c r="N77">
        <v>1070</v>
      </c>
      <c r="R77">
        <v>1070</v>
      </c>
    </row>
    <row r="78" spans="5:18">
      <c r="F78">
        <v>355</v>
      </c>
      <c r="N78">
        <v>535</v>
      </c>
      <c r="R78">
        <v>535</v>
      </c>
    </row>
    <row r="79" spans="5:18">
      <c r="G79">
        <v>890</v>
      </c>
      <c r="N79">
        <v>535</v>
      </c>
      <c r="R79">
        <v>535</v>
      </c>
    </row>
    <row r="80" spans="5:18">
      <c r="F80">
        <v>365</v>
      </c>
      <c r="N80">
        <v>535</v>
      </c>
      <c r="R80">
        <v>535</v>
      </c>
    </row>
    <row r="81" spans="5:18">
      <c r="G81">
        <v>900</v>
      </c>
      <c r="H81"/>
      <c r="N81">
        <v>535</v>
      </c>
      <c r="R81">
        <v>535</v>
      </c>
    </row>
    <row r="82" spans="5:18">
      <c r="E82">
        <v>543</v>
      </c>
      <c r="H82">
        <v>1086</v>
      </c>
      <c r="R82">
        <v>1086</v>
      </c>
    </row>
    <row r="83" spans="5:18">
      <c r="F83">
        <v>347</v>
      </c>
      <c r="H83">
        <v>543</v>
      </c>
      <c r="R83">
        <v>543</v>
      </c>
    </row>
    <row r="84" spans="5:18">
      <c r="G84">
        <v>890</v>
      </c>
      <c r="H84">
        <v>543</v>
      </c>
      <c r="R84">
        <v>543</v>
      </c>
    </row>
    <row r="85" spans="5:18">
      <c r="F85">
        <v>357</v>
      </c>
      <c r="G85"/>
      <c r="H85">
        <v>543</v>
      </c>
      <c r="R85">
        <v>543</v>
      </c>
    </row>
    <row r="86" spans="5:18">
      <c r="G86">
        <v>900</v>
      </c>
      <c r="H86">
        <v>543</v>
      </c>
      <c r="R86">
        <v>543</v>
      </c>
    </row>
    <row r="87" spans="5:18">
      <c r="E87">
        <v>590</v>
      </c>
      <c r="F87"/>
      <c r="G87"/>
      <c r="H87"/>
      <c r="Q87">
        <v>590</v>
      </c>
      <c r="R87">
        <v>590</v>
      </c>
    </row>
    <row r="88" spans="5:18">
      <c r="F88">
        <v>110</v>
      </c>
      <c r="G88"/>
      <c r="H88"/>
      <c r="Q88">
        <v>590</v>
      </c>
      <c r="R88">
        <v>590</v>
      </c>
    </row>
    <row r="89" spans="5:18">
      <c r="G89">
        <v>700</v>
      </c>
      <c r="H89"/>
      <c r="Q89">
        <v>590</v>
      </c>
      <c r="R89">
        <v>590</v>
      </c>
    </row>
    <row r="90" spans="5:18">
      <c r="E90">
        <v>697</v>
      </c>
      <c r="F90"/>
      <c r="G90"/>
      <c r="H90"/>
      <c r="K90">
        <v>697</v>
      </c>
      <c r="R90">
        <v>697</v>
      </c>
    </row>
    <row r="91" spans="5:18">
      <c r="F91">
        <v>203</v>
      </c>
      <c r="K91">
        <v>697</v>
      </c>
      <c r="R91">
        <v>697</v>
      </c>
    </row>
    <row r="92" spans="5:18">
      <c r="G92">
        <v>900</v>
      </c>
      <c r="K92">
        <v>697</v>
      </c>
      <c r="R92">
        <v>697</v>
      </c>
    </row>
    <row r="93" spans="5:18">
      <c r="E93">
        <v>705</v>
      </c>
      <c r="F93"/>
      <c r="G93"/>
      <c r="P93">
        <v>1410</v>
      </c>
      <c r="R93">
        <v>1410</v>
      </c>
    </row>
    <row r="94" spans="5:18">
      <c r="F94">
        <v>85</v>
      </c>
      <c r="P94">
        <v>705</v>
      </c>
      <c r="R94">
        <v>705</v>
      </c>
    </row>
    <row r="95" spans="5:18">
      <c r="G95">
        <v>790</v>
      </c>
      <c r="P95">
        <v>705</v>
      </c>
      <c r="R95">
        <v>705</v>
      </c>
    </row>
    <row r="96" spans="5:18">
      <c r="F96">
        <v>195</v>
      </c>
      <c r="G96"/>
      <c r="P96">
        <v>705</v>
      </c>
      <c r="R96">
        <v>705</v>
      </c>
    </row>
    <row r="97" spans="5:18">
      <c r="G97">
        <v>900</v>
      </c>
      <c r="P97">
        <v>705</v>
      </c>
      <c r="R97">
        <v>705</v>
      </c>
    </row>
    <row r="98" spans="5:18">
      <c r="E98" t="s">
        <v>38</v>
      </c>
      <c r="F98"/>
      <c r="G98"/>
      <c r="H98">
        <v>1534</v>
      </c>
      <c r="I98">
        <v>925</v>
      </c>
      <c r="J98">
        <v>1329</v>
      </c>
      <c r="K98">
        <v>1326</v>
      </c>
      <c r="L98">
        <v>646</v>
      </c>
      <c r="M98">
        <v>210</v>
      </c>
      <c r="N98">
        <v>1680</v>
      </c>
      <c r="O98">
        <v>634</v>
      </c>
      <c r="P98">
        <v>1625</v>
      </c>
      <c r="Q98">
        <v>590</v>
      </c>
      <c r="R98">
        <v>10499</v>
      </c>
    </row>
  </sheetData>
  <mergeCells count="1">
    <mergeCell ref="B2:H4"/>
  </mergeCells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chart</vt:lpstr>
      <vt:lpstr>file1</vt:lpstr>
      <vt:lpstr>file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Pawandeep</dc:creator>
  <cp:lastModifiedBy>Pawandeep</cp:lastModifiedBy>
  <dcterms:created xsi:type="dcterms:W3CDTF">2026-01-10T09:34:00Z</dcterms:created>
  <dcterms:modified xsi:type="dcterms:W3CDTF">2026-04-14T03:15:42Z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61F2052A80534E059A3448415D121AED_11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